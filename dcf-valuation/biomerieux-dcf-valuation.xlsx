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ed0074ccb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401cf7586af46db"/>
    <x:sheet xmlns:r="http://schemas.openxmlformats.org/officeDocument/2006/relationships" name="Income Statement" sheetId="2" r:id="R7d8ac695bc4d4a35"/>
    <x:sheet xmlns:r="http://schemas.openxmlformats.org/officeDocument/2006/relationships" name="Balance Sheet" sheetId="3" r:id="Rb01f195946324c76"/>
    <x:sheet xmlns:r="http://schemas.openxmlformats.org/officeDocument/2006/relationships" name="Cash Flow" sheetId="4" r:id="R2a113da029a64440"/>
    <x:sheet xmlns:r="http://schemas.openxmlformats.org/officeDocument/2006/relationships" name="Revenue Breakdown" sheetId="5" r:id="Rc5d3c01e641d42a4"/>
    <x:sheet xmlns:r="http://schemas.openxmlformats.org/officeDocument/2006/relationships" name="Ratios" sheetId="6" r:id="R1c9e0f68261b4665"/>
    <x:sheet xmlns:r="http://schemas.openxmlformats.org/officeDocument/2006/relationships" name="Sources" sheetId="7" r:id="Rec34bf04664f4353"/>
    <x:sheet xmlns:r="http://schemas.openxmlformats.org/officeDocument/2006/relationships" name="Forecast Assumptions" sheetId="8" r:id="Rbabf5f46a3ed4bed"/>
    <x:sheet xmlns:r="http://schemas.openxmlformats.org/officeDocument/2006/relationships" name="Revenue Forecast" sheetId="9" r:id="R973c14c2d5744500"/>
    <x:sheet xmlns:r="http://schemas.openxmlformats.org/officeDocument/2006/relationships" name="Operating Forecast" sheetId="10" r:id="Re105e41be9b04bbe"/>
    <x:sheet xmlns:r="http://schemas.openxmlformats.org/officeDocument/2006/relationships" name="Forecast Cash Flow" sheetId="11" r:id="R1f492eb686c645d1"/>
    <x:sheet xmlns:r="http://schemas.openxmlformats.org/officeDocument/2006/relationships" name="Forecast Summary" sheetId="12" r:id="R20e9082f82574825"/>
    <x:sheet xmlns:r="http://schemas.openxmlformats.org/officeDocument/2006/relationships" name="WACC" sheetId="13" r:id="R850a0a1beeab4381"/>
    <x:sheet xmlns:r="http://schemas.openxmlformats.org/officeDocument/2006/relationships" name="DCF Valuation" sheetId="14" r:id="R6d4e954c4849430c"/>
    <x:sheet xmlns:r="http://schemas.openxmlformats.org/officeDocument/2006/relationships" name="DCF Sensitivity" sheetId="15" r:id="Rdb1b52c2f3a5403c"/>
    <x:sheet xmlns:r="http://schemas.openxmlformats.org/officeDocument/2006/relationships" name="DCF Summary" sheetId="16" r:id="R2e3905d02d244b90"/>
  </x:sheets>
</x:workbook>
</file>

<file path=xl/sharedStrings.xml><?xml version="1.0" encoding="utf-8"?>
<x:sst xmlns:x="http://schemas.openxmlformats.org/spreadsheetml/2006/main">
  <x:si>
    <x:t xml:space="preserve">bioMérieux SA</x:t>
  </x:si>
  <x:si>
    <x:t xml:space="preserve">Company</x:t>
  </x:si>
  <x:si>
    <x:t xml:space="preserve">Ticker</x:t>
  </x:si>
  <x:si>
    <x:t xml:space="preserve">BIM (Euronext Paris)</x:t>
  </x:si>
  <x:si>
    <x:t xml:space="preserve">ISIN</x:t>
  </x:si>
  <x:si>
    <x:t xml:space="preserve">FR0013280286</x:t>
  </x:si>
  <x:si>
    <x:t xml:space="preserve">Sector</x:t>
  </x:si>
  <x:si>
    <x:t xml:space="preserve">Healthcare — In Vitro Diagnostics</x:t>
  </x:si>
  <x:si>
    <x:t xml:space="preserve">Headquarters</x:t>
  </x:si>
  <x:si>
    <x:t xml:space="preserve">Marcy-l'Étoile, France</x:t>
  </x:si>
  <x:si>
    <x:t xml:space="preserve">Financial Year End</x:t>
  </x:si>
  <x:si>
    <x:t xml:space="preserve">31 December</x:t>
  </x:si>
  <x:si>
    <x:t xml:space="preserve">Reporting Currency</x:t>
  </x:si>
  <x:si>
    <x:t xml:space="preserve">Euro (€, millions)</x:t>
  </x:si>
  <x:si>
    <x:t xml:space="preserve">Accounting Standards</x:t>
  </x:si>
  <x:si>
    <x:t xml:space="preserve">IFRS</x:t>
  </x:si>
  <x:si>
    <x:t xml:space="preserve">Prepared by:</x:t>
  </x:si>
  <x:si>
    <x:t xml:space="preserve">Erica Zheng</x:t>
  </x:si>
  <x:si>
    <x:t xml:space="preserve">bioMérieux — Consolidated Income Statement</x:t>
  </x:si>
  <x:si>
    <x:t xml:space="preserve">In € millions, year ended 31 December</x:t>
  </x:si>
  <x:si>
    <x:t xml:space="preserve">FY2023A</x:t>
  </x:si>
  <x:si>
    <x:t xml:space="preserve">FY2024A</x:t>
  </x:si>
  <x:si>
    <x:t xml:space="preserve">FY2025A</x:t>
  </x:si>
  <x:si>
    <x:t xml:space="preserve">Net sales</x:t>
  </x:si>
  <x:si>
    <x:t xml:space="preserve">Cost of sales</x:t>
  </x:si>
  <x:si>
    <x:t xml:space="preserve">Gross profit</x:t>
  </x:si>
  <x:si>
    <x:t xml:space="preserve">Gross margin (%)</x:t>
  </x:si>
  <x:si>
    <x:t xml:space="preserve">Other operating income</x:t>
  </x:si>
  <x:si>
    <x:t xml:space="preserve">Selling and marketing expenses</x:t>
  </x:si>
  <x:si>
    <x:t xml:space="preserve">General and administrative expenses</x:t>
  </x:si>
  <x:si>
    <x:t xml:space="preserve">Research and development expenses</x:t>
  </x:si>
  <x:si>
    <x:t xml:space="preserve">Total operating expenses</x:t>
  </x:si>
  <x:si>
    <x:t xml:space="preserve">Contributive operating income (CEBIT)</x:t>
  </x:si>
  <x:si>
    <x:t xml:space="preserve">CEBIT margin (%)</x:t>
  </x:si>
  <x:si>
    <x:t xml:space="preserve">Amortisation of acquired intangibles &amp; related</x:t>
  </x:si>
  <x:si>
    <x:t xml:space="preserve">Operating income before non-recurring items</x:t>
  </x:si>
  <x:si>
    <x:t xml:space="preserve">Other non-recurring income (expenses)</x:t>
  </x:si>
  <x:si>
    <x:t xml:space="preserve">Operating income</x:t>
  </x:si>
  <x:si>
    <x:t xml:space="preserve">Cost of net financial debt</x:t>
  </x:si>
  <x:si>
    <x:t xml:space="preserve">Other financial items</x:t>
  </x:si>
  <x:si>
    <x:t xml:space="preserve">Income tax</x:t>
  </x:si>
  <x:si>
    <x:t xml:space="preserve">Share of net income of associates</x:t>
  </x:si>
  <x:si>
    <x:t xml:space="preserve">Net income of consolidated companies</x:t>
  </x:si>
  <x:si>
    <x:t xml:space="preserve">Attributable to minority interests</x:t>
  </x:si>
  <x:si>
    <x:t xml:space="preserve">Net income, group share</x:t>
  </x:si>
  <x:si>
    <x:t xml:space="preserve">Net margin (%)</x:t>
  </x:si>
  <x:si>
    <x:t xml:space="preserve">Basic EPS (€)</x:t>
  </x:si>
  <x:si>
    <x:t xml:space="preserve">Diluted EPS (€)</x:t>
  </x:si>
  <x:si>
    <x:t xml:space="preserve">Adjusted EPS, diluted (€)</x:t>
  </x:si>
  <x:si>
    <x:t xml:space="preserve">Adjusted net income</x:t>
  </x:si>
  <x:si>
    <x:t xml:space="preserve">EBITDA</x:t>
  </x:si>
  <x:si>
    <x:t xml:space="preserve">EBITDA margin (%)</x:t>
  </x:si>
  <x:si>
    <x:t xml:space="preserve">Sources: 2025 URD (p. 258; business review p. 251); 2024 URD (p. 244); FY2025 results materials.</x:t>
  </x:si>
  <x:si>
    <x:t xml:space="preserve">CEBIT = Contributive operating income before non-recurring items.</x:t>
  </x:si>
  <x:si>
    <x:t xml:space="preserve">EBITDA = CEBIT + depreciation and amortisation.</x:t>
  </x:si>
  <x:si>
    <x:t xml:space="preserve">FY2023 CEBIT reconciles to €609.6m after a €0.1m rounding adjustment; the company presents it as €610m.</x:t>
  </x:si>
  <x:si>
    <x:t xml:space="preserve">Net income rounding adjustment</x:t>
  </x:si>
  <x:si>
    <x:t xml:space="preserve">Operating expense rounding adjustment</x:t>
  </x:si>
  <x:si>
    <x:t xml:space="preserve">bioMérieux — Consolidated Balance Sheet</x:t>
  </x:si>
  <x:si>
    <x:t xml:space="preserve">In € millions, as at 31 December</x:t>
  </x:si>
  <x:si>
    <x:t xml:space="preserve">ASSETS</x:t>
  </x:si>
  <x:si>
    <x:t xml:space="preserve">Goodwill</x:t>
  </x:si>
  <x:si>
    <x:t xml:space="preserve">Other intangible assets</x:t>
  </x:si>
  <x:si>
    <x:t xml:space="preserve">Property, plant and equipment</x:t>
  </x:si>
  <x:si>
    <x:t xml:space="preserve">Right-of-use assets</x:t>
  </x:si>
  <x:si>
    <x:t xml:space="preserve">Financial assets</x:t>
  </x:si>
  <x:si>
    <x:t xml:space="preserve">Investments in associates</x:t>
  </x:si>
  <x:si>
    <x:t xml:space="preserve">Other non-current assets</x:t>
  </x:si>
  <x:si>
    <x:t xml:space="preserve">Deferred tax assets</x:t>
  </x:si>
  <x:si>
    <x:t xml:space="preserve">Non-current assets</x:t>
  </x:si>
  <x:si>
    <x:t xml:space="preserve">Inventories and work in progress</x:t>
  </x:si>
  <x:si>
    <x:t xml:space="preserve">Trade receivables</x:t>
  </x:si>
  <x:si>
    <x:t xml:space="preserve">Other operating receivables</x:t>
  </x:si>
  <x:si>
    <x:t xml:space="preserve">Tax receivable</x:t>
  </x:si>
  <x:si>
    <x:t xml:space="preserve">Non-operating receivables</x:t>
  </x:si>
  <x:si>
    <x:t xml:space="preserve">Cash and cash equivalents</x:t>
  </x:si>
  <x:si>
    <x:t xml:space="preserve">Current assets</x:t>
  </x:si>
  <x:si>
    <x:t xml:space="preserve">Total assets</x:t>
  </x:si>
  <x:si>
    <x:t xml:space="preserve">EQUITY AND LIABILITIES</x:t>
  </x:si>
  <x:si>
    <x:t xml:space="preserve">Share capital</x:t>
  </x:si>
  <x:si>
    <x:t xml:space="preserve">Additional paid-in capital and reserves</x:t>
  </x:si>
  <x:si>
    <x:t xml:space="preserve">Net income for the year</x:t>
  </x:si>
  <x:si>
    <x:t xml:space="preserve">Shareholders' equity</x:t>
  </x:si>
  <x:si>
    <x:t xml:space="preserve">Minority interests</x:t>
  </x:si>
  <x:si>
    <x:t xml:space="preserve">Total equity</x:t>
  </x:si>
  <x:si>
    <x:t xml:space="preserve">Long-term borrowings and debt</x:t>
  </x:si>
  <x:si>
    <x:t xml:space="preserve">Deferred tax liabilities</x:t>
  </x:si>
  <x:si>
    <x:t xml:space="preserve">Provisions (non-current)</x:t>
  </x:si>
  <x:si>
    <x:t xml:space="preserve">Non-current liabilities</x:t>
  </x:si>
  <x:si>
    <x:t xml:space="preserve">Short-term borrowings and debt</x:t>
  </x:si>
  <x:si>
    <x:t xml:space="preserve">Provisions (current)</x:t>
  </x:si>
  <x:si>
    <x:t xml:space="preserve">Trade payables</x:t>
  </x:si>
  <x:si>
    <x:t xml:space="preserve">Other operating liabilities</x:t>
  </x:si>
  <x:si>
    <x:t xml:space="preserve">Tax liabilities</x:t>
  </x:si>
  <x:si>
    <x:t xml:space="preserve">Non-operating liabilities</x:t>
  </x:si>
  <x:si>
    <x:t xml:space="preserve">Current liabilities</x:t>
  </x:si>
  <x:si>
    <x:t xml:space="preserve">Total equity and liabilities</x:t>
  </x:si>
  <x:si>
    <x:t xml:space="preserve">Balance sheet check</x:t>
  </x:si>
  <x:si>
    <x:t xml:space="preserve">Sources: 2025 URD (p. 260); 2024 URD (p. 246).</x:t>
  </x:si>
  <x:si>
    <x:t xml:space="preserve">Non-current assets rounding adjustment</x:t>
  </x:si>
  <x:si>
    <x:t xml:space="preserve">Current assets rounding adjustment</x:t>
  </x:si>
  <x:si>
    <x:t xml:space="preserve">Parent equity rounding adjustment</x:t>
  </x:si>
  <x:si>
    <x:t xml:space="preserve">Non-current liabilities rounding adjustment</x:t>
  </x:si>
  <x:si>
    <x:t xml:space="preserve">bioMérieux — Consolidated Cash Flow Statement</x:t>
  </x:si>
  <x:si>
    <x:t xml:space="preserve">EBITDA (before non-recurring items)</x:t>
  </x:si>
  <x:si>
    <x:t xml:space="preserve">Change in operating working capital</x:t>
  </x:si>
  <x:si>
    <x:t xml:space="preserve">Other working capital changes</x:t>
  </x:si>
  <x:si>
    <x:t xml:space="preserve">Income tax paid</x:t>
  </x:si>
  <x:si>
    <x:t xml:space="preserve">Other non-cash adjustments</x:t>
  </x:si>
  <x:si>
    <x:t xml:space="preserve">Net cash from operating activities</x:t>
  </x:si>
  <x:si>
    <x:t xml:space="preserve">Purchases of PP&amp;E and intangibles</x:t>
  </x:si>
  <x:si>
    <x:t xml:space="preserve">Disposals of PP&amp;E and intangibles</x:t>
  </x:si>
  <x:si>
    <x:t xml:space="preserve">Other non-current financial assets</x:t>
  </x:si>
  <x:si>
    <x:t xml:space="preserve">Free cash flow</x:t>
  </x:si>
  <x:si>
    <x:t xml:space="preserve">Acquisitions and changes in group structure</x:t>
  </x:si>
  <x:si>
    <x:t xml:space="preserve">Net cash used in investing activities</x:t>
  </x:si>
  <x:si>
    <x:t xml:space="preserve">Purchases and sales of treasury shares</x:t>
  </x:si>
  <x:si>
    <x:t xml:space="preserve">Dividends paid</x:t>
  </x:si>
  <x:si>
    <x:t xml:space="preserve">Net borrowings / (repayments)</x:t>
  </x:si>
  <x:si>
    <x:t xml:space="preserve">Other financing</x:t>
  </x:si>
  <x:si>
    <x:t xml:space="preserve">Net cash used in financing activities</x:t>
  </x:si>
  <x:si>
    <x:t xml:space="preserve">Net change in cash</x:t>
  </x:si>
  <x:si>
    <x:t xml:space="preserve">Cash at beginning of year</x:t>
  </x:si>
  <x:si>
    <x:t xml:space="preserve">FX impact on cash</x:t>
  </x:si>
  <x:si>
    <x:t xml:space="preserve">Cash at end of year</x:t>
  </x:si>
  <x:si>
    <x:t xml:space="preserve">Sources: 2025 URD (p. 261); 2024 URD (p. 247).</x:t>
  </x:si>
  <x:si>
    <x:t xml:space="preserve">Free cash flow is calculated from rounded disclosed components; subtotal differences of €0.1m are presentation rounding.</x:t>
  </x:si>
  <x:si>
    <x:t xml:space="preserve">CFO rounding adjustment</x:t>
  </x:si>
  <x:si>
    <x:t xml:space="preserve">Investing subtotal rounding adjustment</x:t>
  </x:si>
  <x:si>
    <x:t xml:space="preserve">Cash reconciliation check</x:t>
  </x:si>
  <x:si>
    <x:t xml:space="preserve">Net change rounding adjustment</x:t>
  </x:si>
  <x:si>
    <x:t xml:space="preserve">bioMérieux — Revenue Breakdown</x:t>
  </x:si>
  <x:si>
    <x:t xml:space="preserve">Revenue by application</x:t>
  </x:si>
  <x:si>
    <x:t xml:space="preserve">Clinical applications</x:t>
  </x:si>
  <x:si>
    <x:t xml:space="preserve">Molecular biology</x:t>
  </x:si>
  <x:si>
    <x:t xml:space="preserve">of which: BIOFIRE®</x:t>
  </x:si>
  <x:si>
    <x:t xml:space="preserve">of which: SPOTFIRE®</x:t>
  </x:si>
  <x:si>
    <x:t xml:space="preserve">of which: Other molecular</x:t>
  </x:si>
  <x:si>
    <x:t xml:space="preserve">Microbiology</x:t>
  </x:si>
  <x:si>
    <x:t xml:space="preserve">Immunoassays</x:t>
  </x:si>
  <x:si>
    <x:t xml:space="preserve">Other clinical</x:t>
  </x:si>
  <x:si>
    <x:t xml:space="preserve">Industrial applications</x:t>
  </x:si>
  <x:si>
    <x:t xml:space="preserve">Total sales</x:t>
  </x:si>
  <x:si>
    <x:t xml:space="preserve">Revenue by geography</x:t>
  </x:si>
  <x:si>
    <x:t xml:space="preserve">North America</x:t>
  </x:si>
  <x:si>
    <x:t xml:space="preserve">Latin America</x:t>
  </x:si>
  <x:si>
    <x:t xml:space="preserve">EMEA</x:t>
  </x:si>
  <x:si>
    <x:t xml:space="preserve">Asia Pacific</x:t>
  </x:si>
  <x:si>
    <x:t xml:space="preserve">Revenue by type</x:t>
  </x:si>
  <x:si>
    <x:t xml:space="preserve">Equipment sales</x:t>
  </x:si>
  <x:si>
    <x:t xml:space="preserve">Reagents and consumables</x:t>
  </x:si>
  <x:si>
    <x:t xml:space="preserve">Services</x:t>
  </x:si>
  <x:si>
    <x:t xml:space="preserve">Equipment rentals</x:t>
  </x:si>
  <x:si>
    <x:t xml:space="preserve">Other revenues</x:t>
  </x:si>
  <x:si>
    <x:t xml:space="preserve">Sources: 2025 URD business review pp. 250-251 and Notes 3.1.1, 3.4-3.5 (pp. 270, 273-274); 2024 URD business review pp. 236-237 and Notes 3.1.1, 3.5 (pp. 255, 259).</x:t>
  </x:si>
  <x:si>
    <x:t xml:space="preserve">BIOFIRE/SPOTFIRE sub-breakdown not available for FY2023 under comparable presentation.</x:t>
  </x:si>
  <x:si>
    <x:t xml:space="preserve">bioMérieux — Key Financial Ratios</x:t>
  </x:si>
  <x:si>
    <x:t xml:space="preserve">Year ended 31 December</x:t>
  </x:si>
  <x:si>
    <x:t xml:space="preserve">PROFITABILITY</x:t>
  </x:si>
  <x:si>
    <x:t xml:space="preserve">Gross margin</x:t>
  </x:si>
  <x:si>
    <x:t xml:space="preserve">CEBIT margin</x:t>
  </x:si>
  <x:si>
    <x:t xml:space="preserve">EBITDA margin</x:t>
  </x:si>
  <x:si>
    <x:t xml:space="preserve">Operating margin</x:t>
  </x:si>
  <x:si>
    <x:t xml:space="preserve">Net margin (group share)</x:t>
  </x:si>
  <x:si>
    <x:t xml:space="preserve">R&amp;D as % of sales</x:t>
  </x:si>
  <x:si>
    <x:t xml:space="preserve">SG&amp;A as % of sales</x:t>
  </x:si>
  <x:si>
    <x:t xml:space="preserve">Effective tax rate</x:t>
  </x:si>
  <x:si>
    <x:t xml:space="preserve">GROWTH</x:t>
  </x:si>
  <x:si>
    <x:t xml:space="preserve">Revenue growth (reported)</x:t>
  </x:si>
  <x:si>
    <x:t xml:space="preserve">Revenue growth (organic)</x:t>
  </x:si>
  <x:si>
    <x:t xml:space="preserve">Gross profit growth</x:t>
  </x:si>
  <x:si>
    <x:t xml:space="preserve">CEBIT growth (reported)</x:t>
  </x:si>
  <x:si>
    <x:t xml:space="preserve">EBITDA growth</x:t>
  </x:si>
  <x:si>
    <x:t xml:space="preserve">Net income growth (group share)</x:t>
  </x:si>
  <x:si>
    <x:t xml:space="preserve">RETURNS</x:t>
  </x:si>
  <x:si>
    <x:t xml:space="preserve">Return on equity (avg. parent equity)</x:t>
  </x:si>
  <x:si>
    <x:t xml:space="preserve">Return on assets (avg. total assets)</x:t>
  </x:si>
  <x:si>
    <x:t xml:space="preserve">ROIC (avg. invested capital, approx.)</x:t>
  </x:si>
  <x:si>
    <x:t xml:space="preserve">CASH FLOW AND CAPEX</x:t>
  </x:si>
  <x:si>
    <x:t xml:space="preserve">Free cash flow (€m)</x:t>
  </x:si>
  <x:si>
    <x:t xml:space="preserve">FCF margin</x:t>
  </x:si>
  <x:si>
    <x:t xml:space="preserve">Capex (€m)</x:t>
  </x:si>
  <x:si>
    <x:t xml:space="preserve">Capex as % of sales</x:t>
  </x:si>
  <x:si>
    <x:t xml:space="preserve">FCF conversion (FCF / EBITDA)</x:t>
  </x:si>
  <x:si>
    <x:t xml:space="preserve">LEVERAGE AND LIQUIDITY</x:t>
  </x:si>
  <x:si>
    <x:t xml:space="preserve">Net cash (debt) (€m)</x:t>
  </x:si>
  <x:si>
    <x:t xml:space="preserve">Net debt / EBITDA</x:t>
  </x:si>
  <x:si>
    <x:t xml:space="preserve">Current ratio</x:t>
  </x:si>
  <x:si>
    <x:t xml:space="preserve">PER SHARE DATA</x:t>
  </x:si>
  <x:si>
    <x:t xml:space="preserve">Adjusted diluted EPS (€)</x:t>
  </x:si>
  <x:si>
    <x:t xml:space="preserve">Dividend per share (€)</x:t>
  </x:si>
  <x:si>
    <x:t xml:space="preserve">Payout ratio (DPS / basic EPS)</x:t>
  </x:si>
  <x:si>
    <x:t xml:space="preserve">WORKFORCE</x:t>
  </x:si>
  <x:si>
    <x:t xml:space="preserve">Employees (FTE, approx.)</x:t>
  </x:si>
  <x:si>
    <x:t xml:space="preserve">Revenue per employee (€k)</x:t>
  </x:si>
  <x:si>
    <x:t xml:space="preserve">Sources: Formula-driven from the financial statements; organic growth and workforce are hardcoded company disclosures.</x:t>
  </x:si>
  <x:si>
    <x:t xml:space="preserve">ROE and ROA use average balances; FY2023 is blank because FY2022 opening balances are not included.</x:t>
  </x:si>
  <x:si>
    <x:t xml:space="preserve">ROIC = CEBIT × (1 - effective tax rate) / average (parent equity + borrowings - cash).</x:t>
  </x:si>
  <x:si>
    <x:t xml:space="preserve">Net debt / EBITDA is negative when the company has a net cash position.</x:t>
  </x:si>
  <x:si>
    <x:t xml:space="preserve">Current ratio = current assets / current liabilities.</x:t>
  </x:si>
  <x:si>
    <x:t xml:space="preserve">Employee figures: 14,600 in FY2023 and FY2024; 15,000 in FY2025.</x:t>
  </x:si>
  <x:si>
    <x:t xml:space="preserve">bioMérieux — Sources and Methodology</x:t>
  </x:si>
  <x:si>
    <x:t xml:space="preserve">Ref.</x:t>
  </x:si>
  <x:si>
    <x:t xml:space="preserve">Document</x:t>
  </x:si>
  <x:si>
    <x:t xml:space="preserve">Date</x:t>
  </x:si>
  <x:si>
    <x:t xml:space="preserve">Use in this workbook</x:t>
  </x:si>
  <x:si>
    <x:t xml:space="preserve">[1]</x:t>
  </x:si>
  <x:si>
    <x:t xml:space="preserve">bioMérieux 2025 Universal Registration Document</x:t>
  </x:si>
  <x:si>
    <x:t xml:space="preserve">Filed 16 March 2026</x:t>
  </x:si>
  <x:si>
    <x:t xml:space="preserve">FY2025/FY2024 audited statements: income statement p. 258, balance sheet p. 260, cash flow p. 261; business review pp. 250-251; revenue notes pp. 270 and 273-274.</x:t>
  </x:si>
  <x:si>
    <x:t xml:space="preserve">[2]</x:t>
  </x:si>
  <x:si>
    <x:t xml:space="preserve">bioMérieux 2024 Universal Registration Document</x:t>
  </x:si>
  <x:si>
    <x:t xml:space="preserve">Filed 21 March 2025</x:t>
  </x:si>
  <x:si>
    <x:t xml:space="preserve">FY2024/FY2023 audited statements: income statement p. 244, balance sheet p. 246, cash flow p. 247; business review pp. 236-237; revenue notes pp. 255 and 259.</x:t>
  </x:si>
  <x:si>
    <x:t xml:space="preserve">[3]</x:t>
  </x:si>
  <x:si>
    <x:t xml:space="preserve">bioMérieux FY2025 Results Presentation / Results Materials</x:t>
  </x:si>
  <x:si>
    <x:t xml:space="preserve">27 February 2026</x:t>
  </x:si>
  <x:si>
    <x:t xml:space="preserve">Adjusted net income and diluted adjusted EPS; FY2025 operating highlights and guidance.</x:t>
  </x:si>
  <x:si>
    <x:t xml:space="preserve">[4]</x:t>
  </x:si>
  <x:si>
    <x:t xml:space="preserve">bioMérieux 2023 Annual Report</x:t>
  </x:si>
  <x:si>
    <x:t xml:space="preserve">2024 publication</x:t>
  </x:si>
  <x:si>
    <x:t xml:space="preserve">FY2023 workforce disclosure: approximately 14,600 team members.</x:t>
  </x:si>
  <x:si>
    <x:t xml:space="preserve">[5]</x:t>
  </x:si>
  <x:si>
    <x:t xml:space="preserve">Author calculations</x:t>
  </x:si>
  <x:si>
    <x:t xml:space="preserve">Current workbook</x:t>
  </x:si>
  <x:si>
    <x:t xml:space="preserve">Derived subtotals, margins, growth, returns, leverage, liquidity and statement checks; rounding adjustments are shown transparently.</x:t>
  </x:si>
  <x:si>
    <x:t xml:space="preserve">Methodology notes</x:t>
  </x:si>
  <x:si>
    <x:t xml:space="preserve">• All figures are in euros (€ millions) unless otherwise stated.</x:t>
  </x:si>
  <x:si>
    <x:t xml:space="preserve">• Financial year: year ended 31 December; columns run chronologically from FY2023A to FY2025A.</x:t>
  </x:si>
  <x:si>
    <x:t xml:space="preserve">• Blue-font cells are hardcoded source data; black-font cells are formulas; green-font cells link to another worksheet.</x:t>
  </x:si>
  <x:si>
    <x:t xml:space="preserve">• FY2023 CEBIT is €609.6m after a €0.1m presentation-rounding adjustment; bioMérieux reports this as €610m in its overview.</x:t>
  </x:si>
  <x:si>
    <x:t xml:space="preserve">• The cash flow statement contains €0.1m rounding differences because source components are disclosed to one decimal place.</x:t>
  </x:si>
  <x:si>
    <x:t xml:space="preserve">• This workbook is for educational and portfolio purposes only and does not constitute investment advice.</x:t>
  </x:si>
</x:sst>
</file>

<file path=xl/styles.xml><?xml version="1.0" encoding="utf-8"?>
<x:styleSheet xmlns:x="http://schemas.openxmlformats.org/spreadsheetml/2006/main">
  <x:numFmts count="18">
    <x:numFmt numFmtId="164" formatCode="#,##0.0"/>
    <x:numFmt numFmtId="167" formatCode="0.00\x"/>
    <x:numFmt numFmtId="168" formatCode="#,##0.0;[Red]\(#,##0.0\);\-"/>
    <x:numFmt numFmtId="169" formatCode="0.0%;[Red]\(0.0%\);\-"/>
    <x:numFmt numFmtId="170" formatCode="\€0.00;[Red]\(\€0.00\);\-"/>
    <x:numFmt numFmtId="171" formatCode="0.0\x;[Red]\(0.0\x\);\-"/>
    <x:numFmt numFmtId="172" formatCode="#,##0;[Red]\(#,##0\);\-"/>
    <x:numFmt numFmtId="173" formatCode=";;;"/>
    <x:numFmt numFmtId="200" formatCode="0.0%;[Red](0.0%);-"/>
    <x:numFmt numFmtId="201" formatCode="#,##0.0;[Red](#,##0.0);-"/>
    <x:numFmt numFmtId="202" formatCode="€0.00;[Red](€0.00);-"/>
    <x:numFmt numFmtId="203" formatCode="#,##0;[Red](#,##0);-"/>
    <x:numFmt numFmtId="204" formatCode="General"/>
    <x:numFmt numFmtId="205" formatCode="0.000;[Red](0.000);-"/>
    <x:numFmt numFmtId="206" formatCode="0.00x"/>
    <x:numFmt numFmtId="207" formatCode="0.00%;[Red](0.00%);-"/>
    <x:numFmt numFmtId="208" formatCode="dd mmm yyyy"/>
    <x:numFmt numFmtId="209" formatCode="0.000x"/>
  </x:numFmts>
  <x:fonts count="30">
    <x:font>
      <x:sz val="11"/>
      <x:color theme="1"/>
      <x:name val="Calibri"/>
    </x:font>
    <x:font>
      <x:b/>
      <x:sz val="22"/>
      <x:color rgb="FF1B3A5C"/>
      <x:name val="Arial"/>
    </x:font>
    <x:font>
      <x:b/>
      <x:sz val="16"/>
      <x:color rgb="FF2E75B6"/>
      <x:name val="Arial"/>
    </x:font>
    <x:font>
      <x:sz val="12"/>
      <x:color rgb="FF2E75B6"/>
      <x:name val="Arial"/>
    </x:font>
    <x:font>
      <x:b/>
      <x:sz val="10"/>
      <x:name val="Arial"/>
    </x:font>
    <x:font>
      <x:sz val="10"/>
      <x:name val="Arial"/>
    </x:font>
    <x:font>
      <x:i/>
      <x:sz val="9"/>
      <x:color rgb="FF666666"/>
      <x:name val="Arial"/>
    </x:font>
    <x:font>
      <x:b/>
      <x:sz val="14"/>
      <x:color rgb="FF1B3A5C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B3A5C"/>
      <x:name val="Arial"/>
    </x:font>
    <x:font>
      <x:b/>
      <x:sz val="11"/>
      <x:color rgb="FF1B3A5C"/>
      <x:name val="Arial"/>
    </x:font>
    <x:font>
      <x:sz val="10"/>
      <x:color rgb="FF000000"/>
      <x:name val="Arial"/>
    </x:font>
    <x:font>
      <x:sz val="10"/>
      <x:color rgb="FF6B7280"/>
      <x:name val="Arial"/>
    </x:font>
    <x:font>
      <x:sz val="11"/>
      <x:color rgb="FF000000"/>
      <x:name val="Calibri"/>
    </x:font>
    <x:font>
      <x:sz val="11"/>
      <x:color rgb="FF008000"/>
      <x:name val="Calibri"/>
    </x:font>
    <x:font>
      <x:sz val="10"/>
      <x:color rgb="FF008000"/>
      <x:name val="Arial"/>
    </x:font>
    <x:font>
      <x:sz val="11"/>
      <x:color rgb="FFFFFFFF"/>
      <x:name val="Calibri"/>
    </x:font>
    <x:font>
      <x:b/>
      <x:sz val="17"/>
      <x:color rgb="FF244062"/>
      <x:name val="Calibri"/>
    </x:font>
    <x:font>
      <x:i/>
      <x:sz val="10"/>
      <x:color rgb="FF666666"/>
      <x:name val="Calibri"/>
    </x:font>
    <x:font>
      <x:b/>
      <x:sz val="11"/>
      <x:color rgb="FFFFFFFF"/>
      <x:name val="Calibri"/>
    </x:font>
    <x:font>
      <x:b/>
      <x:sz val="11"/>
      <x:color rgb="FF000000"/>
      <x:name val="Calibri"/>
    </x:font>
    <x:font>
      <x:sz val="9"/>
      <x:color rgb="FF666666"/>
      <x:name val="Calibri"/>
    </x:font>
    <x:font>
      <x:sz val="11"/>
      <x:color rgb="FF0000FF"/>
      <x:name val="Calibri"/>
    </x:font>
    <x:font>
      <x:b/>
      <x:sz val="11"/>
      <x:color theme="1"/>
      <x:name val="Calibri"/>
    </x:font>
    <x:font>
      <x:i/>
      <x:sz val="9"/>
      <x:color rgb="FF666666"/>
      <x:name val="Calibri"/>
    </x:font>
    <x:font>
      <x:b/>
      <x:sz val="11"/>
      <x:color rgb="FF008000"/>
      <x:name val="Calibri"/>
    </x:font>
    <x:font>
      <x:sz val="10"/>
      <x:color rgb="FF666666"/>
      <x:name val="Calibri"/>
    </x:font>
    <x:font>
      <x:b/>
      <x:sz val="11"/>
      <x:color rgb="FF1F4E78"/>
      <x:name val="Calibri"/>
    </x:font>
    <x:font>
      <x:b/>
      <x:sz val="11"/>
      <x:color rgb="FF0000FF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1B3A5C"/>
      </x:patternFill>
    </x:fill>
    <x:fill>
      <x:patternFill patternType="solid">
        <x:fgColor rgb="FFD6E4F0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</x:fills>
  <x:borders count="8">
    <x:border/>
    <x:border>
      <x:bottom style="thin">
        <x:color rgb="FFD0D0D0"/>
      </x:bottom>
    </x:border>
    <x:border>
      <x:bottom style="medium">
        <x:color rgb="FF1B3A5C"/>
      </x:bottom>
    </x:border>
    <x:border/>
    <x:border>
      <x:bottom style="thin">
        <x:color rgb="FFD0D0D0"/>
      </x:bottom>
    </x:border>
    <x:border>
      <x:bottom style="medium">
        <x:color rgb="FF1B3A5C"/>
      </x:bottom>
    </x:border>
    <x:border>
      <x:top style="thin">
        <x:color rgb="FF1F4E78"/>
      </x:top>
    </x:border>
    <x:border>
      <x:top style="thin">
        <x:color rgb="FF1F4E78"/>
      </x:top>
    </x:border>
  </x:borders>
  <x:cellStyleXfs count="1">
    <x:xf numFmtId="0" fontId="0" fillId="0" borderId="0"/>
  </x:cellStyleXfs>
  <x:cellXfs count="262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1" xfId="0" applyFont="1" applyBorder="1"/>
    <x:xf numFmtId="0" fontId="5" fillId="0" borderId="1" xfId="0" applyFont="1" applyBorder="1"/>
    <x:xf numFmtId="0" fontId="4" fillId="2" borderId="1" xfId="0" applyFont="1" applyFill="1" applyBorder="1"/>
    <x:xf numFmtId="0" fontId="5" fillId="2" borderId="1" xfId="0" applyFont="1" applyFill="1" applyBorder="1"/>
    <x:xf numFmtId="0" fontId="4" fillId="0" borderId="0" xfId="0" applyFont="1"/>
    <x:xf numFmtId="0" fontId="5" fillId="0" borderId="0" xfId="0" applyFont="1"/>
    <x:xf numFmtId="0" fontId="6" fillId="0" borderId="0" xfId="0" applyFont="1"/>
    <x:xf numFmtId="0" fontId="7" fillId="0" borderId="0" xfId="0" applyFont="1"/>
    <x:xf numFmtId="0" fontId="8" fillId="3" borderId="0" xfId="0" applyFont="1" applyFill="1" applyAlignment="1">
      <x:alignment horizontal="center" vertical="center" wrapText="1"/>
    </x:xf>
    <x:xf numFmtId="0" fontId="5" fillId="0" borderId="0" xfId="0" applyFont="1" applyAlignment="1"/>
    <x:xf numFmtId="0" fontId="4" fillId="2" borderId="2" xfId="0" applyFont="1" applyFill="1" applyBorder="1"/>
    <x:xf numFmtId="0" fontId="5" fillId="2" borderId="0" xfId="0" applyFont="1" applyFill="1" applyAlignment="1"/>
    <x:xf numFmtId="0" fontId="4" fillId="0" borderId="2" xfId="0" applyFont="1" applyBorder="1"/>
    <x:xf numFmtId="0" fontId="5" fillId="2" borderId="0" xfId="0" applyFont="1" applyFill="1"/>
    <x:xf numFmtId="0" fontId="10" fillId="4" borderId="0" xfId="0" applyFont="1" applyFill="1"/>
    <x:xf numFmtId="0" fontId="9" fillId="4" borderId="0" xfId="0" applyFont="1" applyFill="1" applyAlignment="1">
      <x:alignment horizontal="center"/>
    </x:xf>
    <x:xf numFmtId="0" fontId="11" fillId="0" borderId="0" xfId="0" applyFont="1"/>
    <x:xf numFmtId="14" fontId="5" fillId="0" borderId="0" xfId="0" applyNumberFormat="1" applyFont="1" applyAlignment="1">
      <x:alignment horizontal="left"/>
    </x:xf>
    <x:xf numFmtId="0" fontId="13" fillId="0" borderId="0" xfId="0" applyNumberFormat="1" applyFont="1" applyFill="1" applyBorder="1"/>
    <x:xf numFmtId="0" fontId="15" fillId="0" borderId="0" xfId="0" applyNumberFormat="1" applyFont="1" applyFill="1" applyBorder="1"/>
    <x:xf numFmtId="0" fontId="16" fillId="0" borderId="0" xfId="0" applyNumberFormat="1" applyFont="1" applyFill="1" applyBorder="1" applyAlignment="1">
      <x:alignment horizontal="center"/>
    </x:xf>
    <x:xf numFmtId="0" fontId="16" fillId="4" borderId="0" xfId="0" applyNumberFormat="1" applyFont="1" applyFill="1" applyBorder="1" applyAlignment="1">
      <x:alignment horizontal="center"/>
    </x:xf>
    <x:xf numFmtId="164" fontId="16" fillId="0" borderId="0" xfId="0" applyNumberFormat="1" applyFont="1" applyFill="1" applyBorder="1" applyAlignment="1">
      <x:alignment horizontal="center"/>
    </x:xf>
    <x:xf numFmtId="167" fontId="16" fillId="0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168" fontId="9" fillId="2" borderId="1" xfId="0" applyNumberFormat="1" applyFont="1" applyFill="1" applyBorder="1" applyAlignment="1">
      <x:alignment horizontal="center"/>
    </x:xf>
    <x:xf numFmtId="168" fontId="9" fillId="0" borderId="0" xfId="0" applyNumberFormat="1" applyFont="1" applyFill="1" applyBorder="1" applyAlignment="1">
      <x:alignment horizontal="center"/>
    </x:xf>
    <x:xf numFmtId="168" fontId="12" fillId="2" borderId="2" xfId="0" applyNumberFormat="1" applyFont="1" applyFill="1" applyBorder="1" applyAlignment="1">
      <x:alignment horizontal="center"/>
    </x:xf>
    <x:xf numFmtId="168" fontId="12" fillId="0" borderId="0" xfId="0" applyNumberFormat="1" applyFont="1" applyFill="1" applyBorder="1" applyAlignment="1">
      <x:alignment horizontal="center"/>
    </x:xf>
    <x:xf numFmtId="168" fontId="9" fillId="2" borderId="0" xfId="0" applyNumberFormat="1" applyFont="1" applyFill="1" applyBorder="1" applyAlignment="1">
      <x:alignment horizontal="center"/>
    </x:xf>
    <x:xf numFmtId="168" fontId="12" fillId="0" borderId="1" xfId="0" applyNumberFormat="1" applyFont="1" applyFill="1" applyBorder="1" applyAlignment="1">
      <x:alignment horizontal="center"/>
    </x:xf>
    <x:xf numFmtId="168" fontId="13" fillId="0" borderId="0" xfId="0" applyNumberFormat="1" applyFont="1" applyFill="1" applyBorder="1" applyAlignment="1">
      <x:alignment horizontal="center"/>
    </x:xf>
    <x:xf numFmtId="168" fontId="12" fillId="0" borderId="2" xfId="0" applyNumberFormat="1" applyFont="1" applyFill="1" applyBorder="1" applyAlignment="1">
      <x:alignment horizontal="center"/>
    </x:xf>
    <x:xf numFmtId="168" fontId="9" fillId="0" borderId="1" xfId="0" applyNumberFormat="1" applyFont="1" applyFill="1" applyBorder="1" applyAlignment="1">
      <x:alignment horizontal="center"/>
    </x:xf>
    <x:xf numFmtId="168" fontId="0" fillId="0" borderId="0" xfId="0" applyNumberFormat="1" applyFont="1" applyFill="1" applyBorder="1"/>
    <x:xf numFmtId="168" fontId="9" fillId="4" borderId="0" xfId="0" applyNumberFormat="1" applyFont="1" applyFill="1" applyBorder="1" applyAlignment="1">
      <x:alignment horizontal="center"/>
    </x:xf>
    <x:xf numFmtId="168" fontId="14" fillId="0" borderId="0" xfId="0" applyNumberFormat="1" applyFont="1" applyFill="1" applyBorder="1"/>
    <x:xf numFmtId="168" fontId="9" fillId="0" borderId="2" xfId="0" applyNumberFormat="1" applyFont="1" applyFill="1" applyBorder="1" applyAlignment="1">
      <x:alignment horizontal="center"/>
    </x:xf>
    <x:xf numFmtId="168" fontId="8" fillId="3" borderId="0" xfId="0" applyNumberFormat="1" applyFont="1" applyFill="1" applyBorder="1" applyAlignment="1">
      <x:alignment horizontal="center" vertical="center" wrapText="1"/>
    </x:xf>
    <x:xf numFmtId="169" fontId="12" fillId="0" borderId="0" xfId="0" applyNumberFormat="1" applyFont="1" applyFill="1" applyBorder="1" applyAlignment="1">
      <x:alignment horizontal="center"/>
    </x:xf>
    <x:xf numFmtId="169" fontId="12" fillId="2" borderId="0" xfId="0" applyNumberFormat="1" applyFont="1" applyFill="1" applyBorder="1" applyAlignment="1">
      <x:alignment horizontal="center"/>
    </x:xf>
    <x:xf numFmtId="170" fontId="9" fillId="2" borderId="0" xfId="0" applyNumberFormat="1" applyFont="1" applyFill="1" applyBorder="1" applyAlignment="1">
      <x:alignment horizontal="center"/>
    </x:xf>
    <x:xf numFmtId="170" fontId="9" fillId="0" borderId="0" xfId="0" applyNumberFormat="1" applyFont="1" applyFill="1" applyBorder="1" applyAlignment="1">
      <x:alignment horizontal="center"/>
    </x:xf>
    <x:xf numFmtId="169" fontId="16" fillId="0" borderId="0" xfId="0" applyNumberFormat="1" applyFont="1" applyFill="1" applyBorder="1" applyAlignment="1">
      <x:alignment horizontal="center"/>
    </x:xf>
    <x:xf numFmtId="169" fontId="9" fillId="0" borderId="0" xfId="0" applyNumberFormat="1" applyFont="1" applyFill="1" applyBorder="1" applyAlignment="1">
      <x:alignment horizontal="center"/>
    </x:xf>
    <x:xf numFmtId="171" fontId="16" fillId="0" borderId="0" xfId="0" applyNumberFormat="1" applyFont="1" applyFill="1" applyBorder="1" applyAlignment="1">
      <x:alignment horizontal="center"/>
    </x:xf>
    <x:xf numFmtId="170" fontId="16" fillId="0" borderId="0" xfId="0" applyNumberFormat="1" applyFont="1" applyFill="1" applyBorder="1" applyAlignment="1">
      <x:alignment horizontal="center"/>
    </x:xf>
    <x:xf numFmtId="172" fontId="9" fillId="0" borderId="0" xfId="0" applyNumberFormat="1" applyFont="1" applyFill="1" applyBorder="1" applyAlignment="1">
      <x:alignment horizontal="center"/>
    </x:xf>
    <x:xf numFmtId="168" fontId="16" fillId="0" borderId="2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/>
    <x:xf numFmtId="173" fontId="17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Font="1" applyBorder="1"/>
    <x:xf numFmtId="0" fontId="0" fillId="0" borderId="3" xfId="0" applyNumberFormat="1" applyFont="1" applyFill="1" applyBorder="1"/>
    <x:xf numFmtId="0" fontId="1" fillId="0" borderId="3" xfId="0" applyNumberFormat="1" applyFont="1" applyFill="1" applyBorder="1"/>
    <x:xf numFmtId="0" fontId="2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4" xfId="0" applyNumberFormat="1" applyFont="1" applyFill="1" applyBorder="1"/>
    <x:xf numFmtId="0" fontId="5" fillId="0" borderId="4" xfId="0" applyNumberFormat="1" applyFont="1" applyFill="1" applyBorder="1"/>
    <x:xf numFmtId="0" fontId="4" fillId="2" borderId="4" xfId="0" applyNumberFormat="1" applyFont="1" applyFill="1" applyBorder="1"/>
    <x:xf numFmtId="0" fontId="5" fillId="2" borderId="4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0" borderId="3" xfId="0" applyNumberFormat="1" applyFont="1" applyFill="1" applyBorder="1"/>
    <x:xf numFmtId="0" fontId="8" fillId="3" borderId="3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/>
    <x:xf numFmtId="0" fontId="5" fillId="2" borderId="3" xfId="0" applyNumberFormat="1" applyFont="1" applyFill="1" applyBorder="1"/>
    <x:xf numFmtId="0" fontId="4" fillId="0" borderId="5" xfId="0" applyNumberFormat="1" applyFont="1" applyFill="1" applyBorder="1"/>
    <x:xf numFmtId="0" fontId="10" fillId="4" borderId="3" xfId="0" applyNumberFormat="1" applyFont="1" applyFill="1" applyBorder="1"/>
    <x:xf numFmtId="0" fontId="9" fillId="4" borderId="3" xfId="0" applyNumberFormat="1" applyFont="1" applyFill="1" applyBorder="1" applyAlignment="1">
      <x:alignment horizontal="center"/>
    </x:xf>
    <x:xf numFmtId="0" fontId="11" fillId="0" borderId="3" xfId="0" applyNumberFormat="1" applyFont="1" applyFill="1" applyBorder="1"/>
    <x:xf numFmtId="14" fontId="5" fillId="0" borderId="3" xfId="0" applyNumberFormat="1" applyFont="1" applyFill="1" applyBorder="1" applyAlignment="1">
      <x:alignment horizontal="left"/>
    </x:xf>
    <x:xf numFmtId="0" fontId="13" fillId="0" borderId="3" xfId="0" applyNumberFormat="1" applyFont="1" applyFill="1" applyBorder="1"/>
    <x:xf numFmtId="0" fontId="15" fillId="0" borderId="3" xfId="0" applyNumberFormat="1" applyFont="1" applyFill="1" applyBorder="1"/>
    <x:xf numFmtId="0" fontId="16" fillId="0" borderId="3" xfId="0" applyNumberFormat="1" applyFont="1" applyFill="1" applyBorder="1" applyAlignment="1">
      <x:alignment horizontal="center"/>
    </x:xf>
    <x:xf numFmtId="0" fontId="16" fillId="4" borderId="3" xfId="0" applyNumberFormat="1" applyFont="1" applyFill="1" applyBorder="1" applyAlignment="1">
      <x:alignment horizontal="center"/>
    </x:xf>
    <x:xf numFmtId="164" fontId="16" fillId="0" borderId="3" xfId="0" applyNumberFormat="1" applyFont="1" applyFill="1" applyBorder="1" applyAlignment="1">
      <x:alignment horizontal="center"/>
    </x:xf>
    <x:xf numFmtId="167" fontId="16" fillId="0" borderId="3" xfId="0" applyNumberFormat="1" applyFont="1" applyFill="1" applyBorder="1" applyAlignment="1">
      <x:alignment horizontal="center"/>
    </x:xf>
    <x:xf numFmtId="0" fontId="4" fillId="2" borderId="4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wrapText="1"/>
    </x:xf>
    <x:xf numFmtId="168" fontId="9" fillId="2" borderId="4" xfId="0" applyNumberFormat="1" applyFont="1" applyFill="1" applyBorder="1" applyAlignment="1">
      <x:alignment horizontal="center"/>
    </x:xf>
    <x:xf numFmtId="168" fontId="9" fillId="0" borderId="3" xfId="0" applyNumberFormat="1" applyFont="1" applyFill="1" applyBorder="1" applyAlignment="1">
      <x:alignment horizontal="center"/>
    </x:xf>
    <x:xf numFmtId="168" fontId="12" fillId="2" borderId="5" xfId="0" applyNumberFormat="1" applyFont="1" applyFill="1" applyBorder="1" applyAlignment="1">
      <x:alignment horizontal="center"/>
    </x:xf>
    <x:xf numFmtId="168" fontId="12" fillId="0" borderId="3" xfId="0" applyNumberFormat="1" applyFont="1" applyFill="1" applyBorder="1" applyAlignment="1">
      <x:alignment horizontal="center"/>
    </x:xf>
    <x:xf numFmtId="168" fontId="9" fillId="2" borderId="3" xfId="0" applyNumberFormat="1" applyFont="1" applyFill="1" applyBorder="1" applyAlignment="1">
      <x:alignment horizontal="center"/>
    </x:xf>
    <x:xf numFmtId="168" fontId="12" fillId="0" borderId="4" xfId="0" applyNumberFormat="1" applyFont="1" applyFill="1" applyBorder="1" applyAlignment="1">
      <x:alignment horizontal="center"/>
    </x:xf>
    <x:xf numFmtId="168" fontId="13" fillId="0" borderId="3" xfId="0" applyNumberFormat="1" applyFont="1" applyFill="1" applyBorder="1" applyAlignment="1">
      <x:alignment horizontal="center"/>
    </x:xf>
    <x:xf numFmtId="168" fontId="12" fillId="0" borderId="5" xfId="0" applyNumberFormat="1" applyFont="1" applyFill="1" applyBorder="1" applyAlignment="1">
      <x:alignment horizontal="center"/>
    </x:xf>
    <x:xf numFmtId="168" fontId="9" fillId="0" borderId="4" xfId="0" applyNumberFormat="1" applyFont="1" applyFill="1" applyBorder="1" applyAlignment="1">
      <x:alignment horizontal="center"/>
    </x:xf>
    <x:xf numFmtId="168" fontId="0" fillId="0" borderId="3" xfId="0" applyNumberFormat="1" applyFont="1" applyFill="1" applyBorder="1"/>
    <x:xf numFmtId="168" fontId="9" fillId="4" borderId="3" xfId="0" applyNumberFormat="1" applyFont="1" applyFill="1" applyBorder="1" applyAlignment="1">
      <x:alignment horizontal="center"/>
    </x:xf>
    <x:xf numFmtId="168" fontId="14" fillId="0" borderId="3" xfId="0" applyNumberFormat="1" applyFont="1" applyFill="1" applyBorder="1"/>
    <x:xf numFmtId="168" fontId="9" fillId="0" borderId="5" xfId="0" applyNumberFormat="1" applyFont="1" applyFill="1" applyBorder="1" applyAlignment="1">
      <x:alignment horizontal="center"/>
    </x:xf>
    <x:xf numFmtId="168" fontId="8" fillId="3" borderId="3" xfId="0" applyNumberFormat="1" applyFont="1" applyFill="1" applyBorder="1" applyAlignment="1">
      <x:alignment horizontal="center" vertical="center" wrapText="1"/>
    </x:xf>
    <x:xf numFmtId="169" fontId="12" fillId="0" borderId="3" xfId="0" applyNumberFormat="1" applyFont="1" applyFill="1" applyBorder="1" applyAlignment="1">
      <x:alignment horizontal="center"/>
    </x:xf>
    <x:xf numFmtId="169" fontId="12" fillId="2" borderId="3" xfId="0" applyNumberFormat="1" applyFont="1" applyFill="1" applyBorder="1" applyAlignment="1">
      <x:alignment horizontal="center"/>
    </x:xf>
    <x:xf numFmtId="170" fontId="9" fillId="2" borderId="3" xfId="0" applyNumberFormat="1" applyFont="1" applyFill="1" applyBorder="1" applyAlignment="1">
      <x:alignment horizontal="center"/>
    </x:xf>
    <x:xf numFmtId="170" fontId="9" fillId="0" borderId="3" xfId="0" applyNumberFormat="1" applyFont="1" applyFill="1" applyBorder="1" applyAlignment="1">
      <x:alignment horizontal="center"/>
    </x:xf>
    <x:xf numFmtId="169" fontId="16" fillId="0" borderId="3" xfId="0" applyNumberFormat="1" applyFont="1" applyFill="1" applyBorder="1" applyAlignment="1">
      <x:alignment horizontal="center"/>
    </x:xf>
    <x:xf numFmtId="169" fontId="9" fillId="0" borderId="3" xfId="0" applyNumberFormat="1" applyFont="1" applyFill="1" applyBorder="1" applyAlignment="1">
      <x:alignment horizontal="center"/>
    </x:xf>
    <x:xf numFmtId="171" fontId="16" fillId="0" borderId="3" xfId="0" applyNumberFormat="1" applyFont="1" applyFill="1" applyBorder="1" applyAlignment="1">
      <x:alignment horizontal="center"/>
    </x:xf>
    <x:xf numFmtId="170" fontId="16" fillId="0" borderId="3" xfId="0" applyNumberFormat="1" applyFont="1" applyFill="1" applyBorder="1" applyAlignment="1">
      <x:alignment horizontal="center"/>
    </x:xf>
    <x:xf numFmtId="172" fontId="9" fillId="0" borderId="3" xfId="0" applyNumberFormat="1" applyFont="1" applyFill="1" applyBorder="1" applyAlignment="1">
      <x:alignment horizontal="center"/>
    </x:xf>
    <x:xf numFmtId="168" fontId="16" fillId="0" borderId="5" xfId="0" applyNumberFormat="1" applyFont="1" applyFill="1" applyBorder="1" applyAlignment="1">
      <x:alignment horizontal="center"/>
    </x:xf>
    <x:xf numFmtId="0" fontId="14" fillId="0" borderId="3" xfId="0" applyNumberFormat="1" applyFont="1" applyFill="1" applyBorder="1"/>
    <x:xf numFmtId="173" fontId="17" fillId="0" borderId="3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18" fillId="0" borderId="0" xfId="0" applyNumberFormat="1" applyFont="1" applyFill="1" applyBorder="1"/>
    <x:xf numFmtId="0" fontId="18" fillId="0" borderId="3" xfId="0" applyNumberFormat="1" applyFont="1" applyFill="1" applyBorder="1"/>
    <x:xf numFmtId="0" fontId="19" fillId="0" borderId="0" xfId="0" applyNumberFormat="1" applyFont="1" applyFill="1" applyBorder="1"/>
    <x:xf numFmtId="0" fontId="19" fillId="0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3" xfId="0" applyNumberFormat="1" applyFont="1" applyFill="1" applyBorder="1"/>
    <x:xf numFmtId="0" fontId="20" fillId="5" borderId="0" xfId="0" applyNumberFormat="1" applyFont="1" applyFill="1" applyBorder="1"/>
    <x:xf numFmtId="0" fontId="20" fillId="5" borderId="3" xfId="0" applyNumberFormat="1" applyFont="1" applyFill="1" applyBorder="1"/>
    <x:xf numFmtId="0" fontId="20" fillId="5" borderId="0" xfId="0" applyNumberFormat="1" applyFont="1" applyFill="1" applyBorder="1" applyAlignment="1">
      <x:alignment horizontal="right"/>
    </x:xf>
    <x:xf numFmtId="0" fontId="20" fillId="5" borderId="3" xfId="0" applyNumberFormat="1" applyFont="1" applyFill="1" applyBorder="1" applyAlignment="1">
      <x:alignment horizontal="right"/>
    </x:xf>
    <x:xf numFmtId="0" fontId="20" fillId="5" borderId="0" xfId="0" applyNumberFormat="1" applyFont="1" applyFill="1" applyBorder="1" applyAlignment="1">
      <x:alignment horizontal="right" vertical="center"/>
    </x:xf>
    <x:xf numFmtId="0" fontId="20" fillId="5" borderId="3" xfId="0" applyNumberFormat="1" applyFont="1" applyFill="1" applyBorder="1" applyAlignment="1">
      <x:alignment horizontal="right" vertical="center"/>
    </x:xf>
    <x:xf numFmtId="0" fontId="21" fillId="0" borderId="0" xfId="0" applyNumberFormat="1" applyFont="1" applyFill="1" applyBorder="1" applyAlignment="1">
      <x:alignment wrapText="1"/>
    </x:xf>
    <x:xf numFmtId="0" fontId="21" fillId="0" borderId="3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wrapText="1"/>
    </x:xf>
    <x:xf numFmtId="0" fontId="22" fillId="0" borderId="3" xfId="0" applyNumberFormat="1" applyFont="1" applyFill="1" applyBorder="1" applyAlignment="1">
      <x:alignment wrapText="1"/>
    </x:xf>
    <x:xf numFmtId="0" fontId="20" fillId="5" borderId="0" xfId="0" applyNumberFormat="1" applyFont="1" applyFill="1" applyBorder="1" applyAlignment="1">
      <x:alignment horizontal="left"/>
    </x:xf>
    <x:xf numFmtId="0" fontId="20" fillId="5" borderId="3" xfId="0" applyNumberFormat="1" applyFont="1" applyFill="1" applyBorder="1" applyAlignment="1">
      <x:alignment horizontal="left"/>
    </x:xf>
    <x:xf numFmtId="0" fontId="20" fillId="5" borderId="0" xfId="0" applyNumberFormat="1" applyFont="1" applyFill="1" applyBorder="1" applyAlignment="1">
      <x:alignment horizontal="left" vertical="center"/>
    </x:xf>
    <x:xf numFmtId="0" fontId="20" fillId="5" borderId="3" xfId="0" applyNumberFormat="1" applyFont="1" applyFill="1" applyBorder="1" applyAlignment="1">
      <x:alignment horizontal="left" vertical="center"/>
    </x:xf>
    <x:xf numFmtId="0" fontId="21" fillId="0" borderId="0" xfId="0" applyNumberFormat="1" applyFont="1" applyFill="1" applyBorder="1"/>
    <x:xf numFmtId="0" fontId="21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3" xfId="0" applyNumberFormat="1" applyFont="1" applyFill="1" applyBorder="1"/>
    <x:xf numFmtId="200" fontId="23" fillId="0" borderId="0" xfId="0" applyNumberFormat="1" applyFont="1" applyFill="1" applyBorder="1"/>
    <x:xf numFmtId="200" fontId="23" fillId="0" borderId="3" xfId="0" applyNumberFormat="1" applyFont="1" applyFill="1" applyBorder="1"/>
    <x:xf numFmtId="201" fontId="0" fillId="0" borderId="0" xfId="0" applyNumberFormat="1" applyFont="1" applyFill="1" applyBorder="1"/>
    <x:xf numFmtId="201" fontId="0" fillId="0" borderId="3" xfId="0" applyNumberFormat="1" applyFont="1" applyFill="1" applyBorder="1"/>
    <x:xf numFmtId="201" fontId="23" fillId="0" borderId="0" xfId="0" applyNumberFormat="1" applyFont="1" applyFill="1" applyBorder="1"/>
    <x:xf numFmtId="201" fontId="23" fillId="0" borderId="3" xfId="0" applyNumberFormat="1" applyFont="1" applyFill="1" applyBorder="1"/>
    <x:xf numFmtId="0" fontId="24" fillId="0" borderId="0" xfId="0" applyNumberFormat="1" applyFont="1" applyFill="1" applyBorder="1" applyAlignment="1">
      <x:alignment wrapText="1"/>
    </x:xf>
    <x:xf numFmtId="0" fontId="24" fillId="0" borderId="3" xfId="0" applyNumberFormat="1" applyFont="1" applyFill="1" applyBorder="1" applyAlignment="1">
      <x:alignment wrapText="1"/>
    </x:xf>
    <x:xf numFmtId="200" fontId="15" fillId="0" borderId="0" xfId="0" applyNumberFormat="1" applyFont="1" applyFill="1" applyBorder="1"/>
    <x:xf numFmtId="200" fontId="15" fillId="0" borderId="3" xfId="0" applyNumberFormat="1" applyFont="1" applyFill="1" applyBorder="1"/>
    <x:xf numFmtId="201" fontId="15" fillId="0" borderId="0" xfId="0" applyNumberFormat="1" applyFont="1" applyFill="1" applyBorder="1"/>
    <x:xf numFmtId="201" fontId="15" fillId="0" borderId="3" xfId="0" applyNumberFormat="1" applyFont="1" applyFill="1" applyBorder="1"/>
    <x:xf numFmtId="0" fontId="21" fillId="0" borderId="6" xfId="0" applyNumberFormat="1" applyFont="1" applyFill="1" applyBorder="1"/>
    <x:xf numFmtId="0" fontId="21" fillId="0" borderId="7" xfId="0" applyNumberFormat="1" applyFont="1" applyFill="1" applyBorder="1"/>
    <x:xf numFmtId="201" fontId="21" fillId="0" borderId="6" xfId="0" applyNumberFormat="1" applyFont="1" applyFill="1" applyBorder="1"/>
    <x:xf numFmtId="201" fontId="21" fillId="0" borderId="7" xfId="0" applyNumberFormat="1" applyFont="1" applyFill="1" applyBorder="1"/>
    <x:xf numFmtId="0" fontId="25" fillId="0" borderId="0" xfId="0" applyNumberFormat="1" applyFont="1" applyFill="1" applyBorder="1"/>
    <x:xf numFmtId="0" fontId="25" fillId="0" borderId="3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0" fontId="25" fillId="0" borderId="3" xfId="0" applyNumberFormat="1" applyFont="1" applyFill="1" applyBorder="1" applyAlignment="1">
      <x:alignment wrapText="1"/>
    </x:xf>
    <x:xf numFmtId="202" fontId="15" fillId="0" borderId="0" xfId="0" applyNumberFormat="1" applyFont="1" applyFill="1" applyBorder="1"/>
    <x:xf numFmtId="202" fontId="0" fillId="0" borderId="0" xfId="0" applyNumberFormat="1" applyFont="1" applyFill="1" applyBorder="1"/>
    <x:xf numFmtId="202" fontId="15" fillId="0" borderId="3" xfId="0" applyNumberFormat="1" applyFont="1" applyFill="1" applyBorder="1"/>
    <x:xf numFmtId="202" fontId="0" fillId="0" borderId="3" xfId="0" applyNumberFormat="1" applyFont="1" applyFill="1" applyBorder="1"/>
    <x:xf numFmtId="203" fontId="15" fillId="0" borderId="0" xfId="0" applyNumberFormat="1" applyFont="1" applyFill="1" applyBorder="1"/>
    <x:xf numFmtId="203" fontId="0" fillId="0" borderId="0" xfId="0" applyNumberFormat="1" applyFont="1" applyFill="1" applyBorder="1"/>
    <x:xf numFmtId="203" fontId="15" fillId="0" borderId="3" xfId="0" applyNumberFormat="1" applyFont="1" applyFill="1" applyBorder="1"/>
    <x:xf numFmtId="203" fontId="0" fillId="0" borderId="3" xfId="0" applyNumberFormat="1" applyFont="1" applyFill="1" applyBorder="1"/>
    <x:xf numFmtId="201" fontId="26" fillId="0" borderId="6" xfId="0" applyNumberFormat="1" applyFont="1" applyFill="1" applyBorder="1"/>
    <x:xf numFmtId="201" fontId="26" fillId="0" borderId="7" xfId="0" applyNumberFormat="1" applyFont="1" applyFill="1" applyBorder="1"/>
    <x:xf numFmtId="203" fontId="23" fillId="0" borderId="0" xfId="0" applyNumberFormat="1" applyFont="1" applyFill="1" applyBorder="1"/>
    <x:xf numFmtId="203" fontId="23" fillId="0" borderId="3" xfId="0" applyNumberFormat="1" applyFont="1" applyFill="1" applyBorder="1"/>
    <x:xf numFmtId="204" fontId="0" fillId="0" borderId="0" xfId="0" applyNumberFormat="1" applyFont="1" applyFill="1" applyBorder="1"/>
    <x:xf numFmtId="204" fontId="0" fillId="0" borderId="3" xfId="0" applyNumberFormat="1" applyFont="1" applyFill="1" applyBorder="1"/>
    <x:xf numFmtId="201" fontId="21" fillId="0" borderId="0" xfId="0" applyNumberFormat="1" applyFont="1" applyFill="1" applyBorder="1"/>
    <x:xf numFmtId="201" fontId="21" fillId="0" borderId="3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0" fontId="27" fillId="0" borderId="3" xfId="0" applyNumberFormat="1" applyFont="1" applyFill="1" applyBorder="1" applyAlignment="1">
      <x:alignment wrapText="1"/>
    </x:xf>
    <x:xf numFmtId="0" fontId="28" fillId="0" borderId="0" xfId="0" applyNumberFormat="1" applyFont="1" applyFill="1" applyBorder="1" applyAlignment="1">
      <x:alignment wrapText="1"/>
    </x:xf>
    <x:xf numFmtId="0" fontId="28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4" fillId="2" borderId="1" xfId="0" applyNumberFormat="1" applyFont="1" applyFill="1" applyBorder="1"/>
    <x:xf numFmtId="0" fontId="5" fillId="2" borderId="1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4" fillId="2" borderId="2" xfId="0" applyNumberFormat="1" applyFont="1" applyFill="1" applyBorder="1"/>
    <x:xf numFmtId="0" fontId="5" fillId="2" borderId="0" xfId="0" applyNumberFormat="1" applyFont="1" applyFill="1" applyBorder="1"/>
    <x:xf numFmtId="0" fontId="4" fillId="0" borderId="2" xfId="0" applyNumberFormat="1" applyFont="1" applyFill="1" applyBorder="1"/>
    <x:xf numFmtId="0" fontId="10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14" fontId="5" fillId="0" borderId="0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20" fillId="6" borderId="0" xfId="0" applyNumberFormat="1" applyFont="1" applyFill="1" applyBorder="1"/>
    <x:xf numFmtId="0" fontId="0" fillId="7" borderId="0" xfId="0" applyNumberFormat="1" applyFont="1" applyFill="1" applyBorder="1"/>
    <x:xf numFmtId="0" fontId="20" fillId="7" borderId="0" xfId="0" applyNumberFormat="1" applyFont="1" applyFill="1" applyBorder="1"/>
    <x:xf numFmtId="0" fontId="20" fillId="7" borderId="0" xfId="0" applyNumberFormat="1" applyFont="1" applyFill="1" applyBorder="1" applyAlignment="1">
      <x:alignment horizontal="left"/>
    </x:xf>
    <x:xf numFmtId="0" fontId="20" fillId="7" borderId="0" xfId="0" applyNumberFormat="1" applyFont="1" applyFill="1" applyBorder="1" applyAlignment="1">
      <x:alignment horizontal="left" vertical="center"/>
    </x:xf>
    <x:xf numFmtId="0" fontId="20" fillId="7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/>
    <x:xf numFmtId="202" fontId="23" fillId="0" borderId="0" xfId="0" applyNumberFormat="1" applyFont="1" applyFill="1" applyBorder="1"/>
    <x:xf numFmtId="205" fontId="23" fillId="0" borderId="0" xfId="0" applyNumberFormat="1" applyFont="1" applyFill="1" applyBorder="1"/>
    <x:xf numFmtId="201" fontId="14" fillId="0" borderId="0" xfId="0" applyNumberFormat="1" applyFont="1" applyFill="1" applyBorder="1"/>
    <x:xf numFmtId="206" fontId="23" fillId="0" borderId="0" xfId="0" applyNumberFormat="1" applyFont="1" applyFill="1" applyBorder="1"/>
    <x:xf numFmtId="206" fontId="14" fillId="0" borderId="0" xfId="0" applyNumberFormat="1" applyFont="1" applyFill="1" applyBorder="1"/>
    <x:xf numFmtId="207" fontId="21" fillId="0" borderId="6" xfId="0" applyNumberFormat="1" applyFont="1" applyFill="1" applyBorder="1"/>
    <x:xf numFmtId="207" fontId="0" fillId="0" borderId="0" xfId="0" applyNumberFormat="1" applyFont="1" applyFill="1" applyBorder="1"/>
    <x:xf numFmtId="207" fontId="21" fillId="0" borderId="0" xfId="0" applyNumberFormat="1" applyFont="1" applyFill="1" applyBorder="1"/>
    <x:xf numFmtId="0" fontId="20" fillId="7" borderId="0" xfId="0" applyNumberFormat="1" applyFont="1" applyFill="1" applyBorder="1" applyAlignment="1">
      <x:alignment vertical="center" wrapText="1"/>
    </x:xf>
    <x:xf numFmtId="0" fontId="20" fillId="7" borderId="0" xfId="0" applyNumberFormat="1" applyFont="1" applyFill="1" applyBorder="1" applyAlignment="1">
      <x:alignment horizontal="left" vertical="center" wrapText="1"/>
    </x:xf>
    <x:xf numFmtId="0" fontId="21" fillId="0" borderId="6" xfId="0" applyNumberFormat="1" applyFont="1" applyFill="1" applyBorder="1" applyAlignment="1">
      <x:alignment wrapText="1"/>
    </x:xf>
    <x:xf numFmtId="0" fontId="20" fillId="7" borderId="0" xfId="0" applyNumberFormat="1" applyFont="1" applyFill="1" applyBorder="1" applyAlignment="1">
      <x:alignment vertical="top"/>
    </x:xf>
    <x:xf numFmtId="0" fontId="20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202" fontId="23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5" fontId="23" fillId="0" borderId="0" xfId="0" applyNumberFormat="1" applyFont="1" applyFill="1" applyBorder="1" applyAlignment="1">
      <x:alignment vertical="top"/>
    </x:xf>
    <x:xf numFmtId="201" fontId="14" fillId="0" borderId="0" xfId="0" applyNumberFormat="1" applyFont="1" applyFill="1" applyBorder="1" applyAlignment="1">
      <x:alignment vertical="top"/>
    </x:xf>
    <x:xf numFmtId="201" fontId="23" fillId="0" borderId="0" xfId="0" applyNumberFormat="1" applyFont="1" applyFill="1" applyBorder="1" applyAlignment="1">
      <x:alignment vertical="top"/>
    </x:xf>
    <x:xf numFmtId="200" fontId="23" fillId="0" borderId="0" xfId="0" applyNumberFormat="1" applyFont="1" applyFill="1" applyBorder="1" applyAlignment="1">
      <x:alignment vertical="top"/>
    </x:xf>
    <x:xf numFmtId="0" fontId="20" fillId="7" borderId="0" xfId="0" applyNumberFormat="1" applyFont="1" applyFill="1" applyBorder="1" applyAlignment="1">
      <x:alignment horizontal="left" vertical="top"/>
    </x:xf>
    <x:xf numFmtId="0" fontId="20" fillId="7" borderId="0" xfId="0" applyNumberFormat="1" applyFont="1" applyFill="1" applyBorder="1" applyAlignment="1">
      <x:alignment horizontal="left" vertical="top" wrapText="1"/>
    </x:xf>
    <x:xf numFmtId="206" fontId="23" fillId="0" borderId="0" xfId="0" applyNumberFormat="1" applyFont="1" applyFill="1" applyBorder="1" applyAlignment="1">
      <x:alignment vertical="top"/>
    </x:xf>
    <x:xf numFmtId="206" fontId="14" fillId="0" borderId="0" xfId="0" applyNumberFormat="1" applyFont="1" applyFill="1" applyBorder="1" applyAlignment="1">
      <x:alignment vertical="top"/>
    </x:xf>
    <x:xf numFmtId="0" fontId="21" fillId="0" borderId="6" xfId="0" applyNumberFormat="1" applyFont="1" applyFill="1" applyBorder="1" applyAlignment="1">
      <x:alignment vertical="top"/>
    </x:xf>
    <x:xf numFmtId="207" fontId="21" fillId="0" borderId="6" xfId="0" applyNumberFormat="1" applyFont="1" applyFill="1" applyBorder="1" applyAlignment="1">
      <x:alignment vertical="top"/>
    </x:xf>
    <x:xf numFmtId="0" fontId="21" fillId="0" borderId="6" xfId="0" applyNumberFormat="1" applyFont="1" applyFill="1" applyBorder="1" applyAlignment="1">
      <x:alignment vertical="top" wrapText="1"/>
    </x:xf>
    <x:xf numFmtId="207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25" fillId="0" borderId="0" xfId="0" applyNumberFormat="1" applyFont="1" applyFill="1" applyBorder="1" applyAlignment="1">
      <x:alignment vertical="top" wrapText="1"/>
    </x:xf>
    <x:xf numFmtId="208" fontId="0" fillId="0" borderId="0" xfId="0" applyNumberFormat="1" applyFont="1" applyFill="1" applyBorder="1"/>
    <x:xf numFmtId="208" fontId="23" fillId="0" borderId="0" xfId="0" applyNumberFormat="1" applyFont="1" applyFill="1" applyBorder="1"/>
    <x:xf numFmtId="207" fontId="15" fillId="0" borderId="0" xfId="0" applyNumberFormat="1" applyFont="1" applyFill="1" applyBorder="1"/>
    <x:xf numFmtId="206" fontId="0" fillId="0" borderId="0" xfId="0" applyNumberFormat="1" applyFont="1" applyFill="1" applyBorder="1"/>
    <x:xf numFmtId="209" fontId="0" fillId="0" borderId="0" xfId="0" applyNumberFormat="1" applyFont="1" applyFill="1" applyBorder="1"/>
    <x:xf numFmtId="0" fontId="21" fillId="0" xfId="0" applyNumberFormat="1" applyFont="1" applyFill="1" applyBorder="0"/>
    <x:xf numFmtId="201" fontId="21" fillId="0" xfId="0" applyNumberFormat="1" applyFont="1" applyFill="1" applyBorder="0"/>
    <x:xf numFmtId="202" fontId="21" fillId="0" borderId="0" xfId="0" applyNumberFormat="1" applyFont="1" applyFill="1" applyBorder="1"/>
    <x:xf numFmtId="202" fontId="21" fillId="0" borderId="6" xfId="0" applyNumberFormat="1" applyFont="1" applyFill="1" applyBorder="1"/>
    <x:xf numFmtId="0" fontId="24" fillId="0" borderId="0" xfId="0" applyNumberFormat="1" applyFont="1" applyFill="1" applyBorder="1"/>
    <x:xf numFmtId="208" fontId="23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1" fontId="15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wrapText="1"/>
    </x:xf>
    <x:xf numFmtId="201" fontId="21" fillId="0" borderId="6" xfId="0" applyNumberFormat="1" applyFont="1" applyFill="1" applyBorder="1" applyAlignment="1">
      <x:alignment wrapText="1"/>
    </x:xf>
    <x:xf numFmtId="0" fontId="21" fillId="0" xfId="0" applyNumberFormat="1" applyFont="1" applyFill="1" applyBorder="0" applyAlignment="1">
      <x:alignment wrapText="1"/>
    </x:xf>
    <x:xf numFmtId="0" fontId="0" fillId="8" borderId="0" xfId="0" applyNumberFormat="1" applyFont="1" applyFill="1" applyBorder="1"/>
    <x:xf numFmtId="0" fontId="21" fillId="8" borderId="0" xfId="0" applyNumberFormat="1" applyFont="1" applyFill="1" applyBorder="1"/>
    <x:xf numFmtId="200" fontId="20" fillId="7" borderId="0" xfId="0" applyNumberFormat="1" applyFont="1" applyFill="1" applyBorder="1" applyAlignment="1">
      <x:alignment vertical="center"/>
    </x:xf>
    <x:xf numFmtId="200" fontId="21" fillId="8" borderId="0" xfId="0" applyNumberFormat="1" applyFont="1" applyFill="1" applyBorder="1"/>
    <x:xf numFmtId="200" fontId="29" fillId="8" borderId="0" xfId="0" applyNumberFormat="1" applyFont="1" applyFill="1" applyBorder="1"/>
  </x:cellXfs>
  <x:cellStyles count="1">
    <x:cellStyle name="Normal" xfId="0"/>
  </x:cellStyles>
  <x:dxfs count="15">
    <x:dxf>
      <x:font>
        <x:b/>
        <x:color rgb="FFC00000"/>
      </x:font>
      <x:fill>
        <x:patternFill>
          <x:bgColor rgb="FFFDE9E7"/>
        </x:patternFill>
      </x:fill>
    </x:dxf>
    <x:dxf>
      <x:font>
        <x:b/>
        <x:color rgb="FF008000"/>
      </x:font>
      <x:fill>
        <x:patternFill>
          <x:bgColor rgb="FFE8F5E9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  <x:dxf>
      <x:font>
        <x:b/>
        <x:color rgb="FF008000"/>
      </x:font>
      <x:fill>
        <x:patternFill>
          <x:bgColor rgb="FFE8F5E9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  <x:dxf>
      <x:font>
        <x:b/>
        <x:color rgb="FF008000"/>
      </x:font>
      <x:fill>
        <x:patternFill>
          <x:bgColor rgb="FFE8F5E9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  <x:dxf>
      <x:font>
        <x:b/>
        <x:color rgb="FF008000"/>
      </x:font>
      <x:fill>
        <x:patternFill>
          <x:bgColor rgb="FFE8F5E9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  <x:dxf>
      <x:font>
        <x:b/>
        <x:color rgb="FF008000"/>
      </x:font>
      <x:fill>
        <x:patternFill>
          <x:bgColor rgb="FFE8F5E9"/>
        </x:patternFill>
      </x:fill>
    </x:dxf>
    <x:dxf>
      <x:font>
        <x:b/>
        <x:color rgb="FF008000"/>
      </x:font>
      <x:fill>
        <x:patternFill>
          <x:bgColor rgb="FFE8F5E9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  <x:dxf>
      <x:font>
        <x:b/>
        <x:color rgb="FF008000"/>
      </x:font>
      <x:fill>
        <x:patternFill patternType="solid">
          <x:bgColor rgb="FFE8F5E9"/>
        </x:patternFill>
      </x:fill>
    </x:dxf>
    <x:dxf>
      <x:font>
        <x:b/>
        <x:color rgb="FFC00000"/>
      </x:font>
      <x:fill>
        <x:patternFill patternType="solid">
          <x:bgColor rgb="FFFDE9E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D6E4F0"/>
      <x:rgbColor rgb="FF660066"/>
      <x:rgbColor rgb="FFFF8080"/>
      <x:rgbColor rgb="FF0066CC"/>
      <x:rgbColor rgb="FFD0D0D0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66"/>
      <x:rgbColor rgb="FF969696"/>
      <x:rgbColor rgb="FF1B3A5C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27fd57a4b43ac" /><Relationship Type="http://schemas.openxmlformats.org/officeDocument/2006/relationships/theme" Target="/xl/theme/theme1.xml" Id="R99729153d20248ee" /><Relationship Type="http://schemas.openxmlformats.org/officeDocument/2006/relationships/sharedStrings" Target="/xl/sharedStrings.xml" Id="R3446ff96060f472c" /><Relationship Type="http://schemas.openxmlformats.org/officeDocument/2006/relationships/worksheet" Target="/xl/worksheets/sheet1.xml" Id="R9401cf7586af46db" /><Relationship Type="http://schemas.openxmlformats.org/officeDocument/2006/relationships/worksheet" Target="/xl/worksheets/sheet2.xml" Id="R7d8ac695bc4d4a35" /><Relationship Type="http://schemas.openxmlformats.org/officeDocument/2006/relationships/worksheet" Target="/xl/worksheets/sheet3.xml" Id="Rb01f195946324c76" /><Relationship Type="http://schemas.openxmlformats.org/officeDocument/2006/relationships/worksheet" Target="/xl/worksheets/sheet4.xml" Id="R2a113da029a64440" /><Relationship Type="http://schemas.openxmlformats.org/officeDocument/2006/relationships/worksheet" Target="/xl/worksheets/sheet5.xml" Id="Rc5d3c01e641d42a4" /><Relationship Type="http://schemas.openxmlformats.org/officeDocument/2006/relationships/worksheet" Target="/xl/worksheets/sheet6.xml" Id="R1c9e0f68261b4665" /><Relationship Type="http://schemas.openxmlformats.org/officeDocument/2006/relationships/worksheet" Target="/xl/worksheets/sheet7.xml" Id="Rec34bf04664f4353" /><Relationship Type="http://schemas.openxmlformats.org/officeDocument/2006/relationships/worksheet" Target="/xl/worksheets/sheet8.xml" Id="Rbabf5f46a3ed4bed" /><Relationship Type="http://schemas.openxmlformats.org/officeDocument/2006/relationships/worksheet" Target="/xl/worksheets/sheet9.xml" Id="R973c14c2d5744500" /><Relationship Type="http://schemas.openxmlformats.org/officeDocument/2006/relationships/worksheet" Target="/xl/worksheets/sheet10.xml" Id="Re105e41be9b04bbe" /><Relationship Type="http://schemas.openxmlformats.org/officeDocument/2006/relationships/worksheet" Target="/xl/worksheets/sheet11.xml" Id="R1f492eb686c645d1" /><Relationship Type="http://schemas.openxmlformats.org/officeDocument/2006/relationships/worksheet" Target="/xl/worksheets/sheet12.xml" Id="R20e9082f82574825" /><Relationship Type="http://schemas.openxmlformats.org/officeDocument/2006/relationships/worksheet" Target="/xl/worksheets/sheet13.xml" Id="R850a0a1beeab4381" /><Relationship Type="http://schemas.openxmlformats.org/officeDocument/2006/relationships/worksheet" Target="/xl/worksheets/sheet14.xml" Id="R6d4e954c4849430c" /><Relationship Type="http://schemas.openxmlformats.org/officeDocument/2006/relationships/worksheet" Target="/xl/worksheets/sheet15.xml" Id="Rdb1b52c2f3a5403c" /><Relationship Type="http://schemas.openxmlformats.org/officeDocument/2006/relationships/worksheet" Target="/xl/worksheets/sheet16.xml" Id="R2e3905d02d244b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c454fc0e8542ad" /><Relationship Type="http://schemas.openxmlformats.org/officeDocument/2006/relationships/chart" Target="/xl/drawings/charts/chart2.xml" Id="Rec16f56957cb440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eaa33ef285846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and CEBIT (€m)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'Forecast Summary'!$P$25:$P$30</c:f>
              <c:strCache>
                <c:ptCount val="0"/>
              </c:strCache>
            </c:strRef>
          </c:cat>
          <c:val>
            <c:numRef>
              <c:f>'Forecast Summary'!$Q$25:$Q$30</c:f>
              <c:numCache>
                <c:formatCode>#,##0.0;[Red](#,##0.0);-</c:formatCode>
                <c:ptCount val="0"/>
              </c:numCache>
            </c:numRef>
          </c:val>
        </c:ser>
        <c:ser>
          <c:idx val="1"/>
          <c:order val="1"/>
          <c:tx>
            <c:v>CEBIT</c:v>
          </c:tx>
          <c:marker>
            <c:symbol val="none"/>
          </c:marker>
          <c:cat>
            <c:strRef>
              <c:f>'Forecast Summary'!$P$25:$P$30</c:f>
              <c:strCache>
                <c:ptCount val="0"/>
              </c:strCache>
            </c:strRef>
          </c:cat>
          <c:val>
            <c:numRef>
              <c:f>'Forecast Summary'!$R$25:$R$30</c:f>
              <c:numCache>
                <c:formatCode>#,##0.0;[Red](#,##0.0);-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CEBIT Margin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CEBIT margin</c:v>
          </c:tx>
          <c:marker>
            <c:symbol val="none"/>
          </c:marker>
          <c:cat>
            <c:strRef>
              <c:f>'Forecast Summary'!$T$25:$T$30</c:f>
              <c:strCache>
                <c:ptCount val="0"/>
              </c:strCache>
            </c:strRef>
          </c:cat>
          <c:val>
            <c:numRef>
              <c:f>'Forecast Summary'!$U$25:$U$30</c:f>
              <c:numCache>
                <c:formatCode>0.0%;[Red](0.0%);-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Price vs DCF Value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€ / share</c:v>
          </c:tx>
          <c:cat>
            <c:strRef>
              <c:f>'DCF Summary'!$H$5:$H$6</c:f>
              <c:strCache>
                <c:ptCount val="0"/>
              </c:strCache>
            </c:strRef>
          </c:cat>
          <c:val>
            <c:numRef>
              <c:f>'DCF Summary'!$I$5:$I$6</c:f>
              <c:numCache>
                <c:formatCode>€0.00;[Red](€0.00);-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c454fc0e8542ad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16f56957cb440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aa33ef2858467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4f77e92a1934441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2.xml" Id="R3684b637723f4fe4" /></Relationships>
</file>

<file path=xl/worksheets/sheet1.xml><?xml version="1.0" encoding="utf-8"?>
<x:worksheet xmlns:x="http://schemas.openxmlformats.org/spreadsheetml/2006/main">
  <x:sheetPr>
    <x:tabColor rgb="FF1B3A5C"/>
  </x:sheetPr>
  <x:sheetViews>
    <x:sheetView showGridLines="0" workbookViewId="0"/>
  </x:sheetViews>
  <x:sheetFormatPr defaultColWidth="8.6640625" defaultRowHeight="14.399999618530273"/>
  <x:cols>
    <x:col min="1" max="1" width="5" customWidth="1"/>
    <x:col min="2" max="2" width="30" customWidth="1"/>
    <x:col min="3" max="3" width="40" customWidth="1"/>
  </x:cols>
  <x:sheetData>
    <x:row r="2" ht="28.200000762939453">
      <x:c r="B2" s="1" t="s">
        <x:v>0</x:v>
      </x:c>
    </x:row>
    <x:row r="3" ht="21">
      <x:c r="B3" s="2" t="str">
        <x:v>Historical Financials, Five-Year Forecast &amp; DCF Valuation</x:v>
      </x:c>
    </x:row>
    <x:row r="4" ht="15.600000381469727">
      <x:c r="B4" s="3" t="str">
        <x:v>FY2023A – FY2030E</x:v>
      </x:c>
    </x:row>
    <x:row r="7">
      <x:c r="B7" s="4" t="s">
        <x:v>1</x:v>
      </x:c>
      <x:c r="C7" s="5" t="s">
        <x:v>0</x:v>
      </x:c>
    </x:row>
    <x:row r="8">
      <x:c r="B8" s="6" t="s">
        <x:v>2</x:v>
      </x:c>
      <x:c r="C8" s="7" t="s">
        <x:v>3</x:v>
      </x:c>
    </x:row>
    <x:row r="9">
      <x:c r="B9" s="4" t="s">
        <x:v>4</x:v>
      </x:c>
      <x:c r="C9" s="5" t="s">
        <x:v>5</x:v>
      </x:c>
    </x:row>
    <x:row r="10">
      <x:c r="B10" s="6" t="s">
        <x:v>6</x:v>
      </x:c>
      <x:c r="C10" s="7" t="s">
        <x:v>7</x:v>
      </x:c>
    </x:row>
    <x:row r="11">
      <x:c r="B11" s="4" t="s">
        <x:v>8</x:v>
      </x:c>
      <x:c r="C11" s="5" t="s">
        <x:v>9</x:v>
      </x:c>
    </x:row>
    <x:row r="12">
      <x:c r="B12" s="6" t="s">
        <x:v>10</x:v>
      </x:c>
      <x:c r="C12" s="7" t="s">
        <x:v>11</x:v>
      </x:c>
    </x:row>
    <x:row r="13">
      <x:c r="B13" s="4" t="s">
        <x:v>12</x:v>
      </x:c>
      <x:c r="C13" s="5" t="s">
        <x:v>13</x:v>
      </x:c>
    </x:row>
    <x:row r="14">
      <x:c r="B14" s="6" t="s">
        <x:v>14</x:v>
      </x:c>
      <x:c r="C14" s="7" t="s">
        <x:v>15</x:v>
      </x:c>
    </x:row>
    <x:row r="16">
      <x:c r="B16" s="8" t="s">
        <x:v>16</x:v>
      </x:c>
      <x:c r="C16" s="9" t="s">
        <x:v>17</x:v>
      </x:c>
    </x:row>
    <x:row r="17">
      <x:c r="B17" s="8" t="str">
        <x:v>19 August 2026</x:v>
      </x:c>
      <x:c r="C17" s="21">
        <x:v>46227</x:v>
      </x:c>
    </x:row>
    <x:row r="19" ht="34" customHeight="1">
      <x:c r="B19" s="60" t="str">
        <x:v>Historical figures are audited; forecasts and valuation are independent base-case estimates updated for H1 2026 results.</x:v>
      </x:c>
      <x:c r="C19" s="33"/>
    </x:row>
    <x:row r="20" ht="34" customHeight="1">
      <x:c r="B20" s="60" t="str">
        <x:v>DCF valuation date: 19 August 2026 | Base WACC and market price use information available on that date.</x:v>
      </x:c>
      <x:c r="C20" s="3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B6"/>
  </x:sheetPr>
  <x:sheetViews>
    <x:sheetView showGridLines="0" workbookViewId="0"/>
  </x:sheetViews>
  <x:sheetFormatPr defaultColWidth="8.6640625" defaultRowHeight="14.399999618530273"/>
  <x:cols>
    <x:col min="1" max="1" width="48" customWidth="1"/>
    <x:col min="2" max="4" width="16" customWidth="1"/>
  </x:cols>
  <x:sheetData>
    <x:row r="1" ht="17.399999618530273">
      <x:c r="A1" s="11" t="s">
        <x:v>18</x:v>
      </x:c>
    </x:row>
    <x:row r="2">
      <x:c r="A2" s="10" t="s">
        <x:v>19</x:v>
      </x:c>
    </x:row>
    <x:row r="4">
      <x:c r="A4" s="12"/>
      <x:c r="B4" s="12" t="s">
        <x:v>20</x:v>
      </x:c>
      <x:c r="C4" s="12" t="s">
        <x:v>21</x:v>
      </x:c>
      <x:c r="D4" s="12" t="s">
        <x:v>22</x:v>
      </x:c>
    </x:row>
    <x:row r="5">
      <x:c r="A5" s="6" t="s">
        <x:v>23</x:v>
      </x:c>
      <x:c r="B5" s="34">
        <x:v>3674.7</x:v>
      </x:c>
      <x:c r="C5" s="34">
        <x:v>3979.9</x:v>
      </x:c>
      <x:c r="D5" s="34">
        <x:v>4069.8</x:v>
      </x:c>
    </x:row>
    <x:row r="6">
      <x:c r="A6" s="13" t="s">
        <x:v>24</x:v>
      </x:c>
      <x:c r="B6" s="35">
        <x:v>-1617.4</x:v>
      </x:c>
      <x:c r="C6" s="35">
        <x:v>-1764.6</x:v>
      </x:c>
      <x:c r="D6" s="35">
        <x:v>-1761</x:v>
      </x:c>
    </x:row>
    <x:row r="7">
      <x:c r="A7" s="14" t="s">
        <x:v>25</x:v>
      </x:c>
      <x:c r="B7" s="36" t="n">
        <x:f>B5+B6</x:f>
        <x:v>2057.2999999999997</x:v>
      </x:c>
      <x:c r="C7" s="36" t="n">
        <x:f>C5+C6</x:f>
        <x:v>2215.3</x:v>
      </x:c>
      <x:c r="D7" s="36" t="n">
        <x:f>D5+D6</x:f>
        <x:v>2308.8</x:v>
      </x:c>
    </x:row>
    <x:row r="8">
      <x:c r="A8" s="13" t="s">
        <x:v>26</x:v>
      </x:c>
      <x:c r="B8" s="48" t="n">
        <x:f>B7/B5</x:f>
        <x:v>0.5598552262769749</x:v>
      </x:c>
      <x:c r="C8" s="48" t="n">
        <x:f>C7/C5</x:f>
        <x:v>0.5566220256790372</x:v>
      </x:c>
      <x:c r="D8" s="48" t="n">
        <x:f>D7/D5</x:f>
        <x:v>0.5673006044523072</x:v>
      </x:c>
    </x:row>
    <x:row r="9">
      <x:c r="A9" s="9"/>
      <x:c r="B9" s="35"/>
      <x:c r="C9" s="35"/>
      <x:c r="D9" s="35"/>
    </x:row>
    <x:row r="10">
      <x:c r="A10" s="13" t="s">
        <x:v>27</x:v>
      </x:c>
      <x:c r="B10" s="35">
        <x:v>33</x:v>
      </x:c>
      <x:c r="C10" s="35">
        <x:v>46.9</x:v>
      </x:c>
      <x:c r="D10" s="35">
        <x:v>37.799999999999997</x:v>
      </x:c>
    </x:row>
    <x:row r="11">
      <x:c r="A11" s="15" t="s">
        <x:v>28</x:v>
      </x:c>
      <x:c r="B11" s="38">
        <x:v>-725.5</x:v>
      </x:c>
      <x:c r="C11" s="38">
        <x:v>-783.8</x:v>
      </x:c>
      <x:c r="D11" s="38">
        <x:v>-791.2</x:v>
      </x:c>
    </x:row>
    <x:row r="12">
      <x:c r="A12" s="13" t="s">
        <x:v>29</x:v>
      </x:c>
      <x:c r="B12" s="35">
        <x:v>-295</x:v>
      </x:c>
      <x:c r="C12" s="35">
        <x:v>-313.8</x:v>
      </x:c>
      <x:c r="D12" s="35">
        <x:v>-320</x:v>
      </x:c>
    </x:row>
    <x:row r="13">
      <x:c r="A13" s="15" t="s">
        <x:v>30</x:v>
      </x:c>
      <x:c r="B13" s="38">
        <x:v>-460.1</x:v>
      </x:c>
      <x:c r="C13" s="38">
        <x:v>-491.5</x:v>
      </x:c>
      <x:c r="D13" s="38">
        <x:v>-507.4</x:v>
      </x:c>
    </x:row>
    <x:row r="14">
      <x:c r="A14" s="4" t="s">
        <x:v>31</x:v>
      </x:c>
      <x:c r="B14" s="39" t="n">
        <x:f>SUM(B11:B13)+B46</x:f>
        <x:v>-1480.6999999999998</x:v>
      </x:c>
      <x:c r="C14" s="39" t="n">
        <x:f>SUM(C11:C13)+C46</x:f>
        <x:v>-1589.1</x:v>
      </x:c>
      <x:c r="D14" s="39" t="n">
        <x:f>SUM(D11:D13)+D46</x:f>
        <x:v>-1618.6999999999998</x:v>
      </x:c>
    </x:row>
    <x:row r="15">
      <x:c r="A15" s="22"/>
      <x:c r="B15" s="40"/>
      <x:c r="C15" s="40"/>
      <x:c r="D15" s="40"/>
    </x:row>
    <x:row r="16">
      <x:c r="A16" s="16" t="s">
        <x:v>32</x:v>
      </x:c>
      <x:c r="B16" s="41" t="n">
        <x:f>B7+B10+B14</x:f>
        <x:v>609.5999999999999</x:v>
      </x:c>
      <x:c r="C16" s="41" t="n">
        <x:f>C7+C10+C14</x:f>
        <x:v>673.1000000000004</x:v>
      </x:c>
      <x:c r="D16" s="41" t="n">
        <x:f>D7+D10+D14</x:f>
        <x:v>727.9000000000005</x:v>
      </x:c>
    </x:row>
    <x:row r="17">
      <x:c r="A17" s="15" t="s">
        <x:v>33</x:v>
      </x:c>
      <x:c r="B17" s="49" t="n">
        <x:f>B16/B5</x:f>
        <x:v>0.16589109315046124</x:v>
      </x:c>
      <x:c r="C17" s="49" t="n">
        <x:f>C16/C5</x:f>
        <x:v>0.1691248523832258</x:v>
      </x:c>
      <x:c r="D17" s="49" t="n">
        <x:f>D16/D5</x:f>
        <x:v>0.17885399773944677</x:v>
      </x:c>
    </x:row>
    <x:row r="18">
      <x:c r="A18" s="9"/>
      <x:c r="B18" s="35"/>
      <x:c r="C18" s="35"/>
      <x:c r="D18" s="35"/>
    </x:row>
    <x:row r="19">
      <x:c r="A19" s="15" t="s">
        <x:v>34</x:v>
      </x:c>
      <x:c r="B19" s="38">
        <x:v>-170.6</x:v>
      </x:c>
      <x:c r="C19" s="38">
        <x:v>-58.4</x:v>
      </x:c>
      <x:c r="D19" s="38">
        <x:v>-166.8</x:v>
      </x:c>
    </x:row>
    <x:row r="20">
      <x:c r="A20" s="4" t="s">
        <x:v>35</x:v>
      </x:c>
      <x:c r="B20" s="39" t="n">
        <x:f>B16+B19</x:f>
        <x:v>438.9999999999999</x:v>
      </x:c>
      <x:c r="C20" s="39" t="n">
        <x:f>C16+C19</x:f>
        <x:v>614.7000000000004</x:v>
      </x:c>
      <x:c r="D20" s="39" t="n">
        <x:f>D16+D19</x:f>
        <x:v>561.1000000000006</x:v>
      </x:c>
    </x:row>
    <x:row r="21">
      <x:c r="A21" s="15" t="s">
        <x:v>36</x:v>
      </x:c>
      <x:c r="B21" s="38">
        <x:v>0</x:v>
      </x:c>
      <x:c r="C21" s="38">
        <x:v>-25.9</x:v>
      </x:c>
      <x:c r="D21" s="38">
        <x:v>-39.799999999999997</x:v>
      </x:c>
    </x:row>
    <x:row r="22">
      <x:c r="A22" s="16" t="s">
        <x:v>37</x:v>
      </x:c>
      <x:c r="B22" s="41" t="n">
        <x:f>B20+B21</x:f>
        <x:v>438.9999999999999</x:v>
      </x:c>
      <x:c r="C22" s="41" t="n">
        <x:f>C20+C21</x:f>
        <x:v>588.8000000000004</x:v>
      </x:c>
      <x:c r="D22" s="41" t="n">
        <x:f>D20+D21</x:f>
        <x:v>521.3000000000006</x:v>
      </x:c>
    </x:row>
    <x:row r="23">
      <x:c r="A23" s="9"/>
      <x:c r="B23" s="35"/>
      <x:c r="C23" s="35"/>
      <x:c r="D23" s="35"/>
    </x:row>
    <x:row r="24">
      <x:c r="A24" s="13" t="s">
        <x:v>38</x:v>
      </x:c>
      <x:c r="B24" s="35">
        <x:v>1.4</x:v>
      </x:c>
      <x:c r="C24" s="35">
        <x:v>-4.9000000000000004</x:v>
      </x:c>
      <x:c r="D24" s="35">
        <x:v>13.2</x:v>
      </x:c>
    </x:row>
    <x:row r="25">
      <x:c r="A25" s="15" t="s">
        <x:v>39</x:v>
      </x:c>
      <x:c r="B25" s="38">
        <x:v>-3.1</x:v>
      </x:c>
      <x:c r="C25" s="38">
        <x:v>-4.5</x:v>
      </x:c>
      <x:c r="D25" s="38">
        <x:v>-8.9</x:v>
      </x:c>
    </x:row>
    <x:row r="26">
      <x:c r="A26" s="13" t="s">
        <x:v>40</x:v>
      </x:c>
      <x:c r="B26" s="35">
        <x:v>-114.5</x:v>
      </x:c>
      <x:c r="C26" s="35">
        <x:v>-154.30000000000001</x:v>
      </x:c>
      <x:c r="D26" s="35">
        <x:v>-128.80000000000001</x:v>
      </x:c>
    </x:row>
    <x:row r="27">
      <x:c r="A27" s="15" t="s">
        <x:v>41</x:v>
      </x:c>
      <x:c r="B27" s="38">
        <x:v>0</x:v>
      </x:c>
      <x:c r="C27" s="38">
        <x:v>0</x:v>
      </x:c>
      <x:c r="D27" s="38">
        <x:v>-0.1</x:v>
      </x:c>
    </x:row>
    <x:row r="28">
      <x:c r="A28" s="4" t="s">
        <x:v>42</x:v>
      </x:c>
      <x:c r="B28" s="39" t="n">
        <x:f>SUM(B22,B24:B27)+B45</x:f>
        <x:v>322.7999999999999</x:v>
      </x:c>
      <x:c r="C28" s="39" t="n">
        <x:f>SUM(C22,C24:C27)+C45</x:f>
        <x:v>425.10000000000036</x:v>
      </x:c>
      <x:c r="D28" s="39" t="n">
        <x:f>SUM(D22,D24:D27)+D45</x:f>
        <x:v>396.9000000000006</x:v>
      </x:c>
    </x:row>
    <x:row r="29">
      <x:c r="A29" s="15" t="s">
        <x:v>43</x:v>
      </x:c>
      <x:c r="B29" s="38">
        <x:v>-34.799999999999997</x:v>
      </x:c>
      <x:c r="C29" s="38">
        <x:v>-7.1</x:v>
      </x:c>
      <x:c r="D29" s="38">
        <x:v>-0.6</x:v>
      </x:c>
    </x:row>
    <x:row r="30">
      <x:c r="A30" s="16" t="s">
        <x:v>44</x:v>
      </x:c>
      <x:c r="B30" s="41" t="n">
        <x:f>B28-B29</x:f>
        <x:v>357.5999999999999</x:v>
      </x:c>
      <x:c r="C30" s="41" t="n">
        <x:f>C28-C29</x:f>
        <x:v>432.2000000000004</x:v>
      </x:c>
      <x:c r="D30" s="41" t="n">
        <x:f>D28-D29</x:f>
        <x:v>397.5000000000006</x:v>
      </x:c>
    </x:row>
    <x:row r="31">
      <x:c r="A31" s="15" t="s">
        <x:v>45</x:v>
      </x:c>
      <x:c r="B31" s="49" t="n">
        <x:f>B30/B5</x:f>
        <x:v>0.09731406645440442</x:v>
      </x:c>
      <x:c r="C31" s="49" t="n">
        <x:f>C30/C5</x:f>
        <x:v>0.10859569335912972</x:v>
      </x:c>
      <x:c r="D31" s="49" t="n">
        <x:f>D30/D5</x:f>
        <x:v>0.09767064720625107</x:v>
      </x:c>
    </x:row>
    <x:row r="32">
      <x:c r="A32" s="9"/>
      <x:c r="B32" s="35"/>
      <x:c r="C32" s="35"/>
      <x:c r="D32" s="35"/>
    </x:row>
    <x:row r="33">
      <x:c r="A33" s="17" t="s">
        <x:v>46</x:v>
      </x:c>
      <x:c r="B33" s="50">
        <x:v>3.03</x:v>
      </x:c>
      <x:c r="C33" s="50">
        <x:v>3.67</x:v>
      </x:c>
      <x:c r="D33" s="50">
        <x:v>3.37</x:v>
      </x:c>
    </x:row>
    <x:row r="34">
      <x:c r="A34" s="9" t="s">
        <x:v>47</x:v>
      </x:c>
      <x:c r="B34" s="51">
        <x:v>3.01</x:v>
      </x:c>
      <x:c r="C34" s="51">
        <x:v>3.64</x:v>
      </x:c>
      <x:c r="D34" s="51">
        <x:v>3.34</x:v>
      </x:c>
    </x:row>
    <x:row r="35">
      <x:c r="A35" s="17" t="s">
        <x:v>48</x:v>
      </x:c>
      <x:c r="B35" s="50"/>
      <x:c r="C35" s="50">
        <x:v>4.25</x:v>
      </x:c>
      <x:c r="D35" s="50">
        <x:v>4.6399999999999997</x:v>
      </x:c>
    </x:row>
    <x:row r="36">
      <x:c r="A36" s="9"/>
      <x:c r="B36" s="35"/>
      <x:c r="C36" s="35"/>
      <x:c r="D36" s="35"/>
    </x:row>
    <x:row r="37">
      <x:c r="A37" s="6" t="s">
        <x:v>49</x:v>
      </x:c>
      <x:c r="B37" s="34"/>
      <x:c r="C37" s="34">
        <x:v>504.3</x:v>
      </x:c>
      <x:c r="D37" s="34">
        <x:v>551.9</x:v>
      </x:c>
    </x:row>
    <x:row r="38">
      <x:c r="A38" s="4" t="s">
        <x:v>50</x:v>
      </x:c>
      <x:c r="B38" s="42">
        <x:v>827.4</x:v>
      </x:c>
      <x:c r="C38" s="42">
        <x:v>913.9</x:v>
      </x:c>
      <x:c r="D38" s="42">
        <x:v>959.7</x:v>
      </x:c>
    </x:row>
    <x:row r="39">
      <x:c r="A39" s="15" t="s">
        <x:v>51</x:v>
      </x:c>
      <x:c r="B39" s="49" t="n">
        <x:f>B38/B5</x:f>
        <x:v>0.22516123765205323</x:v>
      </x:c>
      <x:c r="C39" s="49" t="n">
        <x:f>C38/C5</x:f>
        <x:v>0.22962888514786803</x:v>
      </x:c>
      <x:c r="D39" s="49" t="n">
        <x:f>D38/D5</x:f>
        <x:v>0.23581011351909184</x:v>
      </x:c>
    </x:row>
    <x:row r="40">
      <x:c r="B40" s="43"/>
      <x:c r="C40" s="43"/>
      <x:c r="D40" s="43"/>
    </x:row>
    <x:row r="41">
      <x:c r="A41" s="10" t="s">
        <x:v>52</x:v>
      </x:c>
      <x:c r="B41" s="43"/>
      <x:c r="C41" s="43"/>
      <x:c r="D41" s="43"/>
    </x:row>
    <x:row r="42">
      <x:c r="A42" s="10" t="s">
        <x:v>53</x:v>
      </x:c>
      <x:c r="B42" s="43"/>
      <x:c r="C42" s="43"/>
      <x:c r="D42" s="43"/>
    </x:row>
    <x:row r="43">
      <x:c r="A43" s="10" t="s">
        <x:v>54</x:v>
      </x:c>
      <x:c r="B43" s="43"/>
      <x:c r="C43" s="43"/>
      <x:c r="D43" s="43"/>
    </x:row>
    <x:row r="44">
      <x:c r="A44" s="10" t="s">
        <x:v>55</x:v>
      </x:c>
      <x:c r="B44" s="43"/>
      <x:c r="C44" s="43"/>
      <x:c r="D44" s="43"/>
    </x:row>
    <x:row r="45" ht="3" customHeight="1">
      <x:c r="A45" s="59" t="s">
        <x:v>56</x:v>
      </x:c>
      <x:c r="B45" s="59">
        <x:v>0</x:v>
      </x:c>
      <x:c r="C45" s="59">
        <x:v>0</x:v>
      </x:c>
      <x:c r="D45" s="59">
        <x:v>0.2</x:v>
      </x:c>
    </x:row>
    <x:row r="46" ht="3" customHeight="1">
      <x:c r="A46" s="59" t="s">
        <x:v>57</x:v>
      </x:c>
      <x:c r="B46" s="59">
        <x:v>-0.1</x:v>
      </x:c>
      <x:c r="C46" s="59">
        <x:v>0</x:v>
      </x:c>
      <x:c r="D46" s="59">
        <x:v>-0.1</x:v>
      </x:c>
    </x:row>
    <x:row r="47">
      <x:c r="B47" s="43"/>
      <x:c r="C47" s="43"/>
      <x:c r="D47" s="43"/>
    </x:row>
    <x:row r="48">
      <x:c r="B48" s="43"/>
      <x:c r="C48" s="43"/>
      <x:c r="D48" s="43"/>
    </x:row>
    <x:row r="49">
      <x:c r="B49" s="43"/>
      <x:c r="C49" s="43"/>
      <x:c r="D49" s="43"/>
    </x:row>
    <x:row r="50">
      <x:c r="B50" s="43"/>
      <x:c r="C50" s="43"/>
      <x:c r="D50" s="43"/>
    </x:row>
    <x:row r="51">
      <x:c r="B51" s="43"/>
      <x:c r="C51" s="43"/>
      <x:c r="D51" s="43"/>
    </x:row>
    <x:row r="52">
      <x:c r="B52" s="43"/>
      <x:c r="C52" s="43"/>
      <x:c r="D52" s="43"/>
    </x:row>
    <x:row r="53">
      <x:c r="B53" s="43"/>
      <x:c r="C53" s="43"/>
      <x:c r="D53" s="43"/>
    </x:row>
    <x:row r="54">
      <x:c r="B54" s="43"/>
      <x:c r="C54" s="43"/>
      <x:c r="D54" s="43"/>
    </x:row>
    <x:row r="55">
      <x:c r="B55" s="43"/>
      <x:c r="C55" s="43"/>
      <x:c r="D55" s="43"/>
    </x:row>
    <x:row r="56">
      <x:c r="B56" s="43"/>
      <x:c r="C56" s="43"/>
      <x:c r="D56" s="43"/>
    </x:row>
    <x:row r="57">
      <x:c r="B57" s="43"/>
      <x:c r="C57" s="43"/>
      <x:c r="D57" s="43"/>
    </x:row>
    <x:row r="58">
      <x:c r="B58" s="43"/>
      <x:c r="C58" s="43"/>
      <x:c r="D58" s="43"/>
    </x:row>
    <x:row r="59">
      <x:c r="B59" s="43"/>
      <x:c r="C59" s="43"/>
      <x:c r="D59" s="43"/>
    </x:row>
    <x:row r="60">
      <x:c r="B60" s="43"/>
      <x:c r="C60" s="43"/>
      <x:c r="D60" s="4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E75B6"/>
  </x:sheetPr>
  <x:sheetViews>
    <x:sheetView showGridLines="0" workbookViewId="0"/>
  </x:sheetViews>
  <x:sheetFormatPr defaultColWidth="8.6640625" defaultRowHeight="14.399999618530273"/>
  <x:cols>
    <x:col min="1" max="1" width="48" customWidth="1"/>
    <x:col min="2" max="4" width="16" customWidth="1"/>
  </x:cols>
  <x:sheetData>
    <x:row r="1" ht="17.399999618530273">
      <x:c r="A1" s="11" t="s">
        <x:v>58</x:v>
      </x:c>
    </x:row>
    <x:row r="2">
      <x:c r="A2" s="10" t="s">
        <x:v>59</x:v>
      </x:c>
    </x:row>
    <x:row r="4">
      <x:c r="A4" s="12"/>
      <x:c r="B4" s="12" t="s">
        <x:v>20</x:v>
      </x:c>
      <x:c r="C4" s="12" t="s">
        <x:v>21</x:v>
      </x:c>
      <x:c r="D4" s="12" t="s">
        <x:v>22</x:v>
      </x:c>
    </x:row>
    <x:row r="5">
      <x:c r="A5" s="18" t="s">
        <x:v>60</x:v>
      </x:c>
      <x:c r="B5" s="44"/>
      <x:c r="C5" s="44"/>
      <x:c r="D5" s="44"/>
    </x:row>
    <x:row r="6">
      <x:c r="A6" s="13" t="s">
        <x:v>61</x:v>
      </x:c>
      <x:c r="B6" s="35">
        <x:v>698.8</x:v>
      </x:c>
      <x:c r="C6" s="35">
        <x:v>730.4</x:v>
      </x:c>
      <x:c r="D6" s="35">
        <x:v>727.8</x:v>
      </x:c>
    </x:row>
    <x:row r="7">
      <x:c r="A7" s="13" t="s">
        <x:v>62</x:v>
      </x:c>
      <x:c r="B7" s="35">
        <x:v>528.6</x:v>
      </x:c>
      <x:c r="C7" s="35">
        <x:v>492</x:v>
      </x:c>
      <x:c r="D7" s="35">
        <x:v>401.5</x:v>
      </x:c>
    </x:row>
    <x:row r="8">
      <x:c r="A8" s="13" t="s">
        <x:v>63</x:v>
      </x:c>
      <x:c r="B8" s="35">
        <x:v>1357.1</x:v>
      </x:c>
      <x:c r="C8" s="35">
        <x:v>1525.4</x:v>
      </x:c>
      <x:c r="D8" s="35">
        <x:v>1515.9</x:v>
      </x:c>
    </x:row>
    <x:row r="9">
      <x:c r="A9" s="13" t="s">
        <x:v>64</x:v>
      </x:c>
      <x:c r="B9" s="35">
        <x:v>148.9</x:v>
      </x:c>
      <x:c r="C9" s="35">
        <x:v>170.2</x:v>
      </x:c>
      <x:c r="D9" s="35">
        <x:v>141.30000000000001</x:v>
      </x:c>
    </x:row>
    <x:row r="10">
      <x:c r="A10" s="13" t="s">
        <x:v>65</x:v>
      </x:c>
      <x:c r="B10" s="35">
        <x:v>219.4</x:v>
      </x:c>
      <x:c r="C10" s="35">
        <x:v>195</x:v>
      </x:c>
      <x:c r="D10" s="35">
        <x:v>128.69999999999999</x:v>
      </x:c>
    </x:row>
    <x:row r="11">
      <x:c r="A11" s="13" t="s">
        <x:v>66</x:v>
      </x:c>
      <x:c r="B11" s="35">
        <x:v>0.8</x:v>
      </x:c>
      <x:c r="C11" s="35">
        <x:v>0.8</x:v>
      </x:c>
      <x:c r="D11" s="35">
        <x:v>0.7</x:v>
      </x:c>
    </x:row>
    <x:row r="12">
      <x:c r="A12" s="13" t="s">
        <x:v>67</x:v>
      </x:c>
      <x:c r="B12" s="35">
        <x:v>7.7</x:v>
      </x:c>
      <x:c r="C12" s="35">
        <x:v>9.1</x:v>
      </x:c>
      <x:c r="D12" s="35">
        <x:v>10.3</x:v>
      </x:c>
    </x:row>
    <x:row r="13">
      <x:c r="A13" s="13" t="s">
        <x:v>68</x:v>
      </x:c>
      <x:c r="B13" s="35">
        <x:v>92.7</x:v>
      </x:c>
      <x:c r="C13" s="35">
        <x:v>145.9</x:v>
      </x:c>
      <x:c r="D13" s="35">
        <x:v>108.1</x:v>
      </x:c>
    </x:row>
    <x:row r="14">
      <x:c r="A14" s="16" t="s">
        <x:v>69</x:v>
      </x:c>
      <x:c r="B14" s="41" t="n">
        <x:f>SUM(B6:B13)+B50</x:f>
        <x:v>3054</x:v>
      </x:c>
      <x:c r="C14" s="41" t="n">
        <x:f>SUM(C6:C13)+C50</x:f>
        <x:v>3268.9</x:v>
      </x:c>
      <x:c r="D14" s="41" t="n">
        <x:f>SUM(D6:D13)+D50</x:f>
        <x:v>3034.2999999999997</x:v>
      </x:c>
    </x:row>
    <x:row r="15">
      <x:c r="A15" s="9"/>
      <x:c r="B15" s="35"/>
      <x:c r="C15" s="35"/>
      <x:c r="D15" s="35"/>
    </x:row>
    <x:row r="16">
      <x:c r="A16" s="13" t="s">
        <x:v>70</x:v>
      </x:c>
      <x:c r="B16" s="35">
        <x:v>908.5</x:v>
      </x:c>
      <x:c r="C16" s="35">
        <x:v>1037.3</x:v>
      </x:c>
      <x:c r="D16" s="35">
        <x:v>959.7</x:v>
      </x:c>
    </x:row>
    <x:row r="17">
      <x:c r="A17" s="13" t="s">
        <x:v>71</x:v>
      </x:c>
      <x:c r="B17" s="35">
        <x:v>728.6</x:v>
      </x:c>
      <x:c r="C17" s="35">
        <x:v>792.3</x:v>
      </x:c>
      <x:c r="D17" s="35">
        <x:v>766.2</x:v>
      </x:c>
    </x:row>
    <x:row r="18">
      <x:c r="A18" s="13" t="s">
        <x:v>72</x:v>
      </x:c>
      <x:c r="B18" s="35">
        <x:v>171.7</x:v>
      </x:c>
      <x:c r="C18" s="35">
        <x:v>176</x:v>
      </x:c>
      <x:c r="D18" s="35">
        <x:v>178.5</x:v>
      </x:c>
    </x:row>
    <x:row r="19">
      <x:c r="A19" s="13" t="s">
        <x:v>73</x:v>
      </x:c>
      <x:c r="B19" s="35">
        <x:v>29.7</x:v>
      </x:c>
      <x:c r="C19" s="35">
        <x:v>21.3</x:v>
      </x:c>
      <x:c r="D19" s="35">
        <x:v>47.8</x:v>
      </x:c>
    </x:row>
    <x:row r="20">
      <x:c r="A20" s="13" t="s">
        <x:v>74</x:v>
      </x:c>
      <x:c r="B20" s="35">
        <x:v>14.3</x:v>
      </x:c>
      <x:c r="C20" s="35">
        <x:v>24.5</x:v>
      </x:c>
      <x:c r="D20" s="35">
        <x:v>18.399999999999999</x:v>
      </x:c>
    </x:row>
    <x:row r="21">
      <x:c r="A21" s="13" t="s">
        <x:v>75</x:v>
      </x:c>
      <x:c r="B21" s="35">
        <x:v>352.4</x:v>
      </x:c>
      <x:c r="C21" s="35">
        <x:v>449.8</x:v>
      </x:c>
      <x:c r="D21" s="35">
        <x:v>569.79999999999995</x:v>
      </x:c>
    </x:row>
    <x:row r="22">
      <x:c r="A22" s="16" t="s">
        <x:v>76</x:v>
      </x:c>
      <x:c r="B22" s="41" t="n">
        <x:f>SUM(B16:B21)+B51</x:f>
        <x:v>2205.2</x:v>
      </x:c>
      <x:c r="C22" s="41" t="n">
        <x:f>SUM(C16:C21)+C51</x:f>
        <x:v>2501.1</x:v>
      </x:c>
      <x:c r="D22" s="41" t="n">
        <x:f>SUM(D16:D21)+D51</x:f>
        <x:v>2540.4</x:v>
      </x:c>
    </x:row>
    <x:row r="23">
      <x:c r="A23" s="9"/>
      <x:c r="B23" s="37"/>
      <x:c r="C23" s="37"/>
      <x:c r="D23" s="37"/>
    </x:row>
    <x:row r="24">
      <x:c r="A24" s="16" t="s">
        <x:v>77</x:v>
      </x:c>
      <x:c r="B24" s="41" t="n">
        <x:f>B14+B22</x:f>
        <x:v>5259.2</x:v>
      </x:c>
      <x:c r="C24" s="41" t="n">
        <x:f>C14+C22</x:f>
        <x:v>5770</x:v>
      </x:c>
      <x:c r="D24" s="41" t="n">
        <x:f>D14+D22</x:f>
        <x:v>5574.7</x:v>
      </x:c>
    </x:row>
    <x:row r="25">
      <x:c r="A25" s="9"/>
      <x:c r="B25" s="35"/>
      <x:c r="C25" s="35"/>
      <x:c r="D25" s="35"/>
    </x:row>
    <x:row r="26">
      <x:c r="A26" s="18" t="s">
        <x:v>78</x:v>
      </x:c>
      <x:c r="B26" s="44"/>
      <x:c r="C26" s="44"/>
      <x:c r="D26" s="44"/>
    </x:row>
    <x:row r="27">
      <x:c r="A27" s="13" t="s">
        <x:v>79</x:v>
      </x:c>
      <x:c r="B27" s="35">
        <x:v>12</x:v>
      </x:c>
      <x:c r="C27" s="35">
        <x:v>12</x:v>
      </x:c>
      <x:c r="D27" s="35">
        <x:v>12</x:v>
      </x:c>
    </x:row>
    <x:row r="28">
      <x:c r="A28" s="13" t="s">
        <x:v>80</x:v>
      </x:c>
      <x:c r="B28" s="35">
        <x:v>3382.6</x:v>
      </x:c>
      <x:c r="C28" s="35">
        <x:v>3760.6</x:v>
      </x:c>
      <x:c r="D28" s="35">
        <x:v>3692.6</x:v>
      </x:c>
    </x:row>
    <x:row r="29">
      <x:c r="A29" s="13" t="s">
        <x:v>81</x:v>
      </x:c>
      <x:c r="B29" s="35">
        <x:v>357.6</x:v>
      </x:c>
      <x:c r="C29" s="35">
        <x:v>432.2</x:v>
      </x:c>
      <x:c r="D29" s="35">
        <x:v>397.5</x:v>
      </x:c>
    </x:row>
    <x:row r="30">
      <x:c r="A30" s="16" t="s">
        <x:v>82</x:v>
      </x:c>
      <x:c r="B30" s="41" t="n">
        <x:f>SUM(B27:B29)+B52</x:f>
        <x:v>3752.2</x:v>
      </x:c>
      <x:c r="C30" s="41" t="n">
        <x:f>SUM(C27:C29)+C52</x:f>
        <x:v>4204.900000000001</x:v>
      </x:c>
      <x:c r="D30" s="41" t="n">
        <x:f>SUM(D27:D29)+D52</x:f>
        <x:v>4102.1</x:v>
      </x:c>
    </x:row>
    <x:row r="31">
      <x:c r="A31" s="13" t="s">
        <x:v>83</x:v>
      </x:c>
      <x:c r="B31" s="35">
        <x:v>0</x:v>
      </x:c>
      <x:c r="C31" s="35">
        <x:v>6.1</x:v>
      </x:c>
      <x:c r="D31" s="35">
        <x:v>3.9</x:v>
      </x:c>
    </x:row>
    <x:row r="32">
      <x:c r="A32" s="16" t="s">
        <x:v>84</x:v>
      </x:c>
      <x:c r="B32" s="41" t="n">
        <x:f>B30+B31</x:f>
        <x:v>3752.2</x:v>
      </x:c>
      <x:c r="C32" s="41" t="n">
        <x:f>C30+C31</x:f>
        <x:v>4211.000000000001</x:v>
      </x:c>
      <x:c r="D32" s="41" t="n">
        <x:f>D30+D31</x:f>
        <x:v>4106</x:v>
      </x:c>
    </x:row>
    <x:row r="33">
      <x:c r="A33" s="9"/>
      <x:c r="B33" s="35"/>
      <x:c r="C33" s="35"/>
      <x:c r="D33" s="35"/>
    </x:row>
    <x:row r="34">
      <x:c r="A34" s="13" t="s">
        <x:v>85</x:v>
      </x:c>
      <x:c r="B34" s="35">
        <x:v>355.4</x:v>
      </x:c>
      <x:c r="C34" s="35">
        <x:v>349.2</x:v>
      </x:c>
      <x:c r="D34" s="35">
        <x:v>330</x:v>
      </x:c>
    </x:row>
    <x:row r="35">
      <x:c r="A35" s="13" t="s">
        <x:v>86</x:v>
      </x:c>
      <x:c r="B35" s="35">
        <x:v>11.1</x:v>
      </x:c>
      <x:c r="C35" s="35">
        <x:v>25.7</x:v>
      </x:c>
      <x:c r="D35" s="35">
        <x:v>26</x:v>
      </x:c>
    </x:row>
    <x:row r="36">
      <x:c r="A36" s="13" t="s">
        <x:v>87</x:v>
      </x:c>
      <x:c r="B36" s="35">
        <x:v>53.3</x:v>
      </x:c>
      <x:c r="C36" s="35">
        <x:v>49.2</x:v>
      </x:c>
      <x:c r="D36" s="35">
        <x:v>48</x:v>
      </x:c>
    </x:row>
    <x:row r="37">
      <x:c r="A37" s="16" t="s">
        <x:v>88</x:v>
      </x:c>
      <x:c r="B37" s="41" t="n">
        <x:f>SUM(B34:B36)+B53</x:f>
        <x:v>419.7</x:v>
      </x:c>
      <x:c r="C37" s="41" t="n">
        <x:f>SUM(C34:C36)+C53</x:f>
        <x:v>424.09999999999997</x:v>
      </x:c>
      <x:c r="D37" s="41" t="n">
        <x:f>SUM(D34:D36)+D53</x:f>
        <x:v>404</x:v>
      </x:c>
    </x:row>
    <x:row r="38">
      <x:c r="A38" s="9"/>
      <x:c r="B38" s="35"/>
      <x:c r="C38" s="35"/>
      <x:c r="D38" s="35"/>
    </x:row>
    <x:row r="39">
      <x:c r="A39" s="13" t="s">
        <x:v>89</x:v>
      </x:c>
      <x:c r="B39" s="35">
        <x:v>163.4</x:v>
      </x:c>
      <x:c r="C39" s="35">
        <x:v>141.5</x:v>
      </x:c>
      <x:c r="D39" s="35">
        <x:v>131.4</x:v>
      </x:c>
    </x:row>
    <x:row r="40">
      <x:c r="A40" s="13" t="s">
        <x:v>90</x:v>
      </x:c>
      <x:c r="B40" s="35">
        <x:v>41.6</x:v>
      </x:c>
      <x:c r="C40" s="35">
        <x:v>37.299999999999997</x:v>
      </x:c>
      <x:c r="D40" s="35">
        <x:v>44.3</x:v>
      </x:c>
    </x:row>
    <x:row r="41">
      <x:c r="A41" s="13" t="s">
        <x:v>91</x:v>
      </x:c>
      <x:c r="B41" s="35">
        <x:v>265.10000000000002</x:v>
      </x:c>
      <x:c r="C41" s="35">
        <x:v>272.39999999999998</x:v>
      </x:c>
      <x:c r="D41" s="35">
        <x:v>262.10000000000002</x:v>
      </x:c>
    </x:row>
    <x:row r="42">
      <x:c r="A42" s="13" t="s">
        <x:v>92</x:v>
      </x:c>
      <x:c r="B42" s="35">
        <x:v>495.9</x:v>
      </x:c>
      <x:c r="C42" s="35">
        <x:v>574.20000000000005</x:v>
      </x:c>
      <x:c r="D42" s="35">
        <x:v>539.4</x:v>
      </x:c>
    </x:row>
    <x:row r="43">
      <x:c r="A43" s="13" t="s">
        <x:v>93</x:v>
      </x:c>
      <x:c r="B43" s="35">
        <x:v>52.8</x:v>
      </x:c>
      <x:c r="C43" s="35">
        <x:v>35.4</x:v>
      </x:c>
      <x:c r="D43" s="35">
        <x:v>18.3</x:v>
      </x:c>
    </x:row>
    <x:row r="44">
      <x:c r="A44" s="13" t="s">
        <x:v>94</x:v>
      </x:c>
      <x:c r="B44" s="35">
        <x:v>68.5</x:v>
      </x:c>
      <x:c r="C44" s="35">
        <x:v>74.099999999999994</x:v>
      </x:c>
      <x:c r="D44" s="35">
        <x:v>69.2</x:v>
      </x:c>
    </x:row>
    <x:row r="45">
      <x:c r="A45" s="16" t="s">
        <x:v>95</x:v>
      </x:c>
      <x:c r="B45" s="41" t="n">
        <x:f>SUM(B39:B44)</x:f>
        <x:v>1087.3</x:v>
      </x:c>
      <x:c r="C45" s="41" t="n">
        <x:f>SUM(C39:C44)</x:f>
        <x:v>1134.9</x:v>
      </x:c>
      <x:c r="D45" s="41" t="n">
        <x:f>SUM(D39:D44)</x:f>
        <x:v>1064.7</x:v>
      </x:c>
    </x:row>
    <x:row r="46">
      <x:c r="A46" s="9"/>
      <x:c r="B46" s="37"/>
      <x:c r="C46" s="37"/>
      <x:c r="D46" s="37"/>
    </x:row>
    <x:row r="47">
      <x:c r="A47" s="16" t="s">
        <x:v>96</x:v>
      </x:c>
      <x:c r="B47" s="41" t="n">
        <x:f>B32+B37+B45</x:f>
        <x:v>5259.2</x:v>
      </x:c>
      <x:c r="C47" s="41" t="n">
        <x:f>C32+C37+C45</x:f>
        <x:v>5770.000000000002</x:v>
      </x:c>
      <x:c r="D47" s="41" t="n">
        <x:f>D32+D37+D45</x:f>
        <x:v>5574.7</x:v>
      </x:c>
    </x:row>
    <x:row r="48">
      <x:c r="A48" t="s">
        <x:v>97</x:v>
      </x:c>
      <x:c r="B48" s="45" t="n">
        <x:f>ROUND(B24-B47,1)</x:f>
        <x:v>0</x:v>
      </x:c>
      <x:c r="C48" s="45" t="n">
        <x:f>ROUND(C24-C47,1)</x:f>
        <x:v>0</x:v>
      </x:c>
      <x:c r="D48" s="45" t="n">
        <x:f>ROUND(D24-D47,1)</x:f>
        <x:v>0</x:v>
      </x:c>
    </x:row>
    <x:row r="49">
      <x:c r="A49" s="10" t="s">
        <x:v>98</x:v>
      </x:c>
      <x:c r="B49" s="43"/>
      <x:c r="C49" s="43"/>
      <x:c r="D49" s="43"/>
    </x:row>
    <x:row r="50" ht="3" customHeight="1">
      <x:c r="A50" s="59" t="s">
        <x:v>99</x:v>
      </x:c>
      <x:c r="B50" s="59">
        <x:v>0</x:v>
      </x:c>
      <x:c r="C50" s="59">
        <x:v>0.1</x:v>
      </x:c>
      <x:c r="D50" s="59">
        <x:v>0</x:v>
      </x:c>
    </x:row>
    <x:row r="51" ht="3" customHeight="1">
      <x:c r="A51" s="59" t="s">
        <x:v>100</x:v>
      </x:c>
      <x:c r="B51" s="59">
        <x:v>0</x:v>
      </x:c>
      <x:c r="C51" s="59">
        <x:v>-0.1</x:v>
      </x:c>
      <x:c r="D51" s="59">
        <x:v>0</x:v>
      </x:c>
    </x:row>
    <x:row r="52" ht="3" customHeight="1">
      <x:c r="A52" s="59" t="s">
        <x:v>101</x:v>
      </x:c>
      <x:c r="B52" s="59">
        <x:v>0</x:v>
      </x:c>
      <x:c r="C52" s="59">
        <x:v>0.1</x:v>
      </x:c>
      <x:c r="D52" s="59">
        <x:v>0</x:v>
      </x:c>
    </x:row>
    <x:row r="53" ht="3" customHeight="1">
      <x:c r="A53" s="59" t="s">
        <x:v>102</x:v>
      </x:c>
      <x:c r="B53" s="59">
        <x:v>-0.1</x:v>
      </x:c>
      <x:c r="C53" s="59">
        <x:v>0</x:v>
      </x:c>
      <x:c r="D53" s="59">
        <x:v>0</x:v>
      </x:c>
    </x:row>
    <x:row r="54">
      <x:c r="B54" s="43"/>
      <x:c r="C54" s="43"/>
      <x:c r="D54" s="43"/>
    </x:row>
    <x:row r="55">
      <x:c r="B55" s="43"/>
      <x:c r="C55" s="43"/>
      <x:c r="D55" s="43"/>
    </x:row>
    <x:row r="56">
      <x:c r="B56" s="43"/>
      <x:c r="C56" s="43"/>
      <x:c r="D56" s="43"/>
    </x:row>
    <x:row r="57">
      <x:c r="B57" s="43"/>
      <x:c r="C57" s="43"/>
      <x:c r="D57" s="43"/>
    </x:row>
    <x:row r="58">
      <x:c r="B58" s="43"/>
      <x:c r="C58" s="43"/>
      <x:c r="D58" s="43"/>
    </x:row>
    <x:row r="59">
      <x:c r="B59" s="43"/>
      <x:c r="C59" s="43"/>
      <x:c r="D59" s="43"/>
    </x:row>
    <x:row r="60">
      <x:c r="B60" s="43"/>
      <x:c r="C60" s="43"/>
      <x:c r="D60" s="43"/>
    </x:row>
  </x:sheetData>
  <x:conditionalFormatting sqref="B48:D48">
    <x:cfRule type="expression" dxfId="9" priority="1">
      <x:formula>ABS(B48)&lt;0.05</x:formula>
    </x:cfRule>
    <x:cfRule type="expression" dxfId="8" priority="2">
      <x:formula>ABS(B48)&gt;=0.05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E75B6"/>
  </x:sheetPr>
  <x:sheetViews>
    <x:sheetView showGridLines="0" workbookViewId="0"/>
  </x:sheetViews>
  <x:sheetFormatPr defaultColWidth="8.6640625" defaultRowHeight="14.399999618530273"/>
  <x:cols>
    <x:col min="1" max="1" width="48" customWidth="1"/>
    <x:col min="2" max="4" width="16" customWidth="1"/>
  </x:cols>
  <x:sheetData>
    <x:row r="1" ht="17.399999618530273">
      <x:c r="A1" s="11" t="s">
        <x:v>103</x:v>
      </x:c>
    </x:row>
    <x:row r="2">
      <x:c r="A2" s="10" t="s">
        <x:v>19</x:v>
      </x:c>
    </x:row>
    <x:row r="4">
      <x:c r="A4" s="12"/>
      <x:c r="B4" s="12" t="s">
        <x:v>20</x:v>
      </x:c>
      <x:c r="C4" s="12" t="s">
        <x:v>21</x:v>
      </x:c>
      <x:c r="D4" s="12" t="s">
        <x:v>22</x:v>
      </x:c>
    </x:row>
    <x:row r="5">
      <x:c r="A5" s="16" t="s">
        <x:v>104</x:v>
      </x:c>
      <x:c r="B5" s="46">
        <x:v>827.4</x:v>
      </x:c>
      <x:c r="C5" s="46">
        <x:v>913.9</x:v>
      </x:c>
      <x:c r="D5" s="46">
        <x:v>959.7</x:v>
      </x:c>
    </x:row>
    <x:row r="6">
      <x:c r="A6" s="13" t="s">
        <x:v>105</x:v>
      </x:c>
      <x:c r="B6" s="35">
        <x:v>-204.5</x:v>
      </x:c>
      <x:c r="C6" s="35">
        <x:v>-47.1</x:v>
      </x:c>
      <x:c r="D6" s="35">
        <x:v>-65.900000000000006</x:v>
      </x:c>
    </x:row>
    <x:row r="7">
      <x:c r="A7" s="13" t="s">
        <x:v>106</x:v>
      </x:c>
      <x:c r="B7" s="35">
        <x:v>1.2</x:v>
      </x:c>
      <x:c r="C7" s="35">
        <x:v>-3.9</x:v>
      </x:c>
      <x:c r="D7" s="35">
        <x:v>-5.4</x:v>
      </x:c>
    </x:row>
    <x:row r="8">
      <x:c r="A8" s="13" t="s">
        <x:v>107</x:v>
      </x:c>
      <x:c r="B8" s="35">
        <x:v>-204.1</x:v>
      </x:c>
      <x:c r="C8" s="35">
        <x:v>-205.5</x:v>
      </x:c>
      <x:c r="D8" s="35">
        <x:v>-151.6</x:v>
      </x:c>
    </x:row>
    <x:row r="9">
      <x:c r="A9" s="13" t="s">
        <x:v>38</x:v>
      </x:c>
      <x:c r="B9" s="35">
        <x:v>1.4</x:v>
      </x:c>
      <x:c r="C9" s="35">
        <x:v>-4.9000000000000004</x:v>
      </x:c>
      <x:c r="D9" s="35">
        <x:v>13.2</x:v>
      </x:c>
    </x:row>
    <x:row r="10">
      <x:c r="A10" s="13" t="s">
        <x:v>108</x:v>
      </x:c>
      <x:c r="B10" s="35">
        <x:v>24</x:v>
      </x:c>
      <x:c r="C10" s="35">
        <x:v>14.8</x:v>
      </x:c>
      <x:c r="D10" s="35">
        <x:v>38.299999999999997</x:v>
      </x:c>
    </x:row>
    <x:row r="11">
      <x:c r="A11" s="16" t="s">
        <x:v>109</x:v>
      </x:c>
      <x:c r="B11" s="41" t="n">
        <x:f>SUM(B5:B10)+B34</x:f>
        <x:v>445.4</x:v>
      </x:c>
      <x:c r="C11" s="41" t="n">
        <x:f>SUM(C5:C10)+C34</x:f>
        <x:v>667.3</x:v>
      </x:c>
      <x:c r="D11" s="41" t="n">
        <x:f>SUM(D5:D10)+D34</x:f>
        <x:v>788.4000000000001</x:v>
      </x:c>
    </x:row>
    <x:row r="12">
      <x:c r="A12" s="9"/>
      <x:c r="B12" s="35"/>
      <x:c r="C12" s="35"/>
      <x:c r="D12" s="35"/>
    </x:row>
    <x:row r="13">
      <x:c r="A13" s="13" t="s">
        <x:v>110</x:v>
      </x:c>
      <x:c r="B13" s="35">
        <x:v>-338.3</x:v>
      </x:c>
      <x:c r="C13" s="35">
        <x:v>-345.8</x:v>
      </x:c>
      <x:c r="D13" s="35">
        <x:v>-335.3</x:v>
      </x:c>
    </x:row>
    <x:row r="14">
      <x:c r="A14" s="13" t="s">
        <x:v>111</x:v>
      </x:c>
      <x:c r="B14" s="35">
        <x:v>6.4</x:v>
      </x:c>
      <x:c r="C14" s="35">
        <x:v>9.4</x:v>
      </x:c>
      <x:c r="D14" s="35">
        <x:v>10.4</x:v>
      </x:c>
    </x:row>
    <x:row r="15">
      <x:c r="A15" s="13" t="s">
        <x:v>112</x:v>
      </x:c>
      <x:c r="B15" s="35">
        <x:v>1.8</x:v>
      </x:c>
      <x:c r="C15" s="35">
        <x:v>-1.2</x:v>
      </x:c>
      <x:c r="D15" s="35">
        <x:v>-1</x:v>
      </x:c>
    </x:row>
    <x:row r="16">
      <x:c r="A16" s="16" t="s">
        <x:v>113</x:v>
      </x:c>
      <x:c r="B16" s="41" t="n">
        <x:f>SUM(B5:B10,B13:B15)</x:f>
        <x:v>115.29999999999995</x:v>
      </x:c>
      <x:c r="C16" s="41" t="n">
        <x:f>SUM(C5:C10,C13:C15)</x:f>
        <x:v>329.69999999999993</x:v>
      </x:c>
      <x:c r="D16" s="41" t="n">
        <x:f>SUM(D5:D10,D13:D15)</x:f>
        <x:v>462.40000000000003</x:v>
      </x:c>
    </x:row>
    <x:row r="17">
      <x:c r="A17" s="9"/>
      <x:c r="B17" s="35"/>
      <x:c r="C17" s="35"/>
      <x:c r="D17" s="35"/>
    </x:row>
    <x:row r="18">
      <x:c r="A18" s="13" t="s">
        <x:v>114</x:v>
      </x:c>
      <x:c r="B18" s="35">
        <x:v>-158.69999999999999</x:v>
      </x:c>
      <x:c r="C18" s="35">
        <x:v>-22.2</x:v>
      </x:c>
      <x:c r="D18" s="35">
        <x:v>-135.69999999999999</x:v>
      </x:c>
    </x:row>
    <x:row r="19">
      <x:c r="A19" s="16" t="s">
        <x:v>115</x:v>
      </x:c>
      <x:c r="B19" s="41" t="n">
        <x:f>SUM(B13:B15,B18)+B35</x:f>
        <x:v>-488.8</x:v>
      </x:c>
      <x:c r="C19" s="41" t="n">
        <x:f>SUM(C13:C15,C18)+C35</x:f>
        <x:v>-359.8</x:v>
      </x:c>
      <x:c r="D19" s="41" t="n">
        <x:f>SUM(D13:D15,D18)+D35</x:f>
        <x:v>-461.70000000000005</x:v>
      </x:c>
    </x:row>
    <x:row r="20">
      <x:c r="A20" s="9"/>
      <x:c r="B20" s="35"/>
      <x:c r="C20" s="35"/>
      <x:c r="D20" s="35"/>
    </x:row>
    <x:row r="21">
      <x:c r="A21" s="13" t="s">
        <x:v>116</x:v>
      </x:c>
      <x:c r="B21" s="35">
        <x:v>12.7</x:v>
      </x:c>
      <x:c r="C21" s="35">
        <x:v>-37.6</x:v>
      </x:c>
      <x:c r="D21" s="35">
        <x:v>-18.2</x:v>
      </x:c>
    </x:row>
    <x:row r="22">
      <x:c r="A22" s="13" t="s">
        <x:v>117</x:v>
      </x:c>
      <x:c r="B22" s="35">
        <x:v>-100.2</x:v>
      </x:c>
      <x:c r="C22" s="35">
        <x:v>-100.2</x:v>
      </x:c>
      <x:c r="D22" s="35">
        <x:v>-106.1</x:v>
      </x:c>
    </x:row>
    <x:row r="23">
      <x:c r="A23" s="13" t="s">
        <x:v>118</x:v>
      </x:c>
      <x:c r="B23" s="35">
        <x:v>-34.799999999999997</x:v>
      </x:c>
      <x:c r="C23" s="35">
        <x:v>-74.8</x:v>
      </x:c>
      <x:c r="D23" s="35">
        <x:v>-29.6</x:v>
      </x:c>
    </x:row>
    <x:row r="24">
      <x:c r="A24" s="13" t="s">
        <x:v>119</x:v>
      </x:c>
      <x:c r="B24" s="35">
        <x:v>0</x:v>
      </x:c>
      <x:c r="C24" s="35">
        <x:v>0</x:v>
      </x:c>
      <x:c r="D24" s="35">
        <x:v>-1.5</x:v>
      </x:c>
    </x:row>
    <x:row r="25">
      <x:c r="A25" s="16" t="s">
        <x:v>120</x:v>
      </x:c>
      <x:c r="B25" s="41" t="n">
        <x:f>SUM(B21:B24)</x:f>
        <x:v>-122.3</x:v>
      </x:c>
      <x:c r="C25" s="41" t="n">
        <x:f>SUM(C21:C24)</x:f>
        <x:v>-212.60000000000002</x:v>
      </x:c>
      <x:c r="D25" s="41" t="n">
        <x:f>SUM(D21:D24)</x:f>
        <x:v>-155.4</x:v>
      </x:c>
    </x:row>
    <x:row r="26">
      <x:c r="A26" s="9"/>
      <x:c r="B26" s="35"/>
      <x:c r="C26" s="35"/>
      <x:c r="D26" s="35"/>
    </x:row>
    <x:row r="27">
      <x:c r="A27" s="16" t="s">
        <x:v>121</x:v>
      </x:c>
      <x:c r="B27" s="41" t="n">
        <x:f>SUM(B11,B19,B25)+B37</x:f>
        <x:v>-165.70000000000005</x:v>
      </x:c>
      <x:c r="C27" s="41" t="n">
        <x:f>SUM(C11,C19,C25)+C37</x:f>
        <x:v>94.79999999999993</x:v>
      </x:c>
      <x:c r="D27" s="41" t="n">
        <x:f>SUM(D11,D19,D25)+D37</x:f>
        <x:v>171.30000000000004</x:v>
      </x:c>
    </x:row>
    <x:row r="28">
      <x:c r="A28" s="9" t="s">
        <x:v>122</x:v>
      </x:c>
      <x:c r="B28" s="35">
        <x:v>528.70000000000005</x:v>
      </x:c>
      <x:c r="C28" s="35">
        <x:v>333.4</x:v>
      </x:c>
      <x:c r="D28" s="35">
        <x:v>442.1</x:v>
      </x:c>
    </x:row>
    <x:row r="29">
      <x:c r="A29" s="9" t="s">
        <x:v>123</x:v>
      </x:c>
      <x:c r="B29" s="35">
        <x:v>-29.7</x:v>
      </x:c>
      <x:c r="C29" s="35">
        <x:v>13.9</x:v>
      </x:c>
      <x:c r="D29" s="35">
        <x:v>-48.4</x:v>
      </x:c>
    </x:row>
    <x:row r="30">
      <x:c r="A30" s="16" t="s">
        <x:v>124</x:v>
      </x:c>
      <x:c r="B30" s="46">
        <x:v>333.4</x:v>
      </x:c>
      <x:c r="C30" s="46">
        <x:v>442.1</x:v>
      </x:c>
      <x:c r="D30" s="46">
        <x:v>565.1</x:v>
      </x:c>
    </x:row>
    <x:row r="31">
      <x:c r="B31" s="43"/>
      <x:c r="C31" s="43"/>
      <x:c r="D31" s="43"/>
    </x:row>
    <x:row r="32">
      <x:c r="A32" s="10" t="s">
        <x:v>125</x:v>
      </x:c>
      <x:c r="B32" s="43"/>
      <x:c r="C32" s="43"/>
      <x:c r="D32" s="43"/>
    </x:row>
    <x:row r="33">
      <x:c r="A33" s="10" t="s">
        <x:v>126</x:v>
      </x:c>
      <x:c r="B33" s="43"/>
      <x:c r="C33" s="43"/>
      <x:c r="D33" s="43"/>
    </x:row>
    <x:row r="34" ht="3" customHeight="1">
      <x:c r="A34" s="59" t="s">
        <x:v>127</x:v>
      </x:c>
      <x:c r="B34" s="59">
        <x:v>0</x:v>
      </x:c>
      <x:c r="C34" s="59">
        <x:v>0</x:v>
      </x:c>
      <x:c r="D34" s="59">
        <x:v>0.1</x:v>
      </x:c>
    </x:row>
    <x:row r="35" ht="3" customHeight="1">
      <x:c r="A35" s="59" t="s">
        <x:v>128</x:v>
      </x:c>
      <x:c r="B35" s="59">
        <x:v>0</x:v>
      </x:c>
      <x:c r="C35" s="59">
        <x:v>0</x:v>
      </x:c>
      <x:c r="D35" s="59">
        <x:v>-0.1</x:v>
      </x:c>
    </x:row>
    <x:row r="36">
      <x:c r="A36" t="s">
        <x:v>129</x:v>
      </x:c>
      <x:c r="B36" s="45" t="str">
        <x:f>IF(ABS(B28+B27+B29-B30)&lt;=0.11,"OK","CHECK")</x:f>
        <x:v>OK</x:v>
      </x:c>
      <x:c r="C36" s="45" t="str">
        <x:f>IF(ABS(C28+C27+C29-C30)&lt;=0.11,"OK","CHECK")</x:f>
        <x:v>OK</x:v>
      </x:c>
      <x:c r="D36" s="45" t="str">
        <x:f>IF(ABS(D28+D27+D29-D30)&lt;=0.11,"OK","CHECK")</x:f>
        <x:v>OK</x:v>
      </x:c>
    </x:row>
    <x:row r="37" ht="3" customHeight="1">
      <x:c r="A37" s="59" t="s">
        <x:v>130</x:v>
      </x:c>
      <x:c r="B37" s="59">
        <x:v>0</x:v>
      </x:c>
      <x:c r="C37" s="59">
        <x:v>-0.1</x:v>
      </x:c>
      <x:c r="D37" s="59">
        <x:v>0</x:v>
      </x:c>
    </x:row>
    <x:row r="38">
      <x:c r="B38" s="43"/>
      <x:c r="C38" s="43"/>
      <x:c r="D38" s="43"/>
    </x:row>
    <x:row r="39">
      <x:c r="B39" s="43"/>
      <x:c r="C39" s="43"/>
      <x:c r="D39" s="43"/>
    </x:row>
    <x:row r="40">
      <x:c r="B40" s="43"/>
      <x:c r="C40" s="43"/>
      <x:c r="D40" s="43"/>
    </x:row>
    <x:row r="41">
      <x:c r="B41" s="43"/>
      <x:c r="C41" s="43"/>
      <x:c r="D41" s="43"/>
    </x:row>
    <x:row r="42">
      <x:c r="B42" s="43"/>
      <x:c r="C42" s="43"/>
      <x:c r="D42" s="43"/>
    </x:row>
    <x:row r="43">
      <x:c r="B43" s="43"/>
      <x:c r="C43" s="43"/>
      <x:c r="D43" s="43"/>
    </x:row>
    <x:row r="44">
      <x:c r="B44" s="43"/>
      <x:c r="C44" s="43"/>
      <x:c r="D44" s="43"/>
    </x:row>
    <x:row r="45">
      <x:c r="B45" s="43"/>
      <x:c r="C45" s="43"/>
      <x:c r="D45" s="43"/>
    </x:row>
    <x:row r="46">
      <x:c r="B46" s="43"/>
      <x:c r="C46" s="43"/>
      <x:c r="D46" s="43"/>
    </x:row>
    <x:row r="47">
      <x:c r="B47" s="43"/>
      <x:c r="C47" s="43"/>
      <x:c r="D47" s="43"/>
    </x:row>
    <x:row r="48">
      <x:c r="B48" s="43"/>
      <x:c r="C48" s="43"/>
      <x:c r="D48" s="43"/>
    </x:row>
    <x:row r="49">
      <x:c r="B49" s="43"/>
      <x:c r="C49" s="43"/>
      <x:c r="D49" s="43"/>
    </x:row>
    <x:row r="50">
      <x:c r="B50" s="43"/>
      <x:c r="C50" s="43"/>
      <x:c r="D50" s="43"/>
    </x:row>
    <x:row r="51">
      <x:c r="B51" s="43"/>
      <x:c r="C51" s="43"/>
      <x:c r="D51" s="43"/>
    </x:row>
    <x:row r="52">
      <x:c r="B52" s="43"/>
      <x:c r="C52" s="43"/>
      <x:c r="D52" s="43"/>
    </x:row>
    <x:row r="53">
      <x:c r="B53" s="43"/>
      <x:c r="C53" s="43"/>
      <x:c r="D53" s="43"/>
    </x:row>
    <x:row r="54">
      <x:c r="B54" s="43"/>
      <x:c r="C54" s="43"/>
      <x:c r="D54" s="43"/>
    </x:row>
    <x:row r="55">
      <x:c r="B55" s="43"/>
      <x:c r="C55" s="43"/>
      <x:c r="D55" s="43"/>
    </x:row>
    <x:row r="56">
      <x:c r="B56" s="43"/>
      <x:c r="C56" s="43"/>
      <x:c r="D56" s="43"/>
    </x:row>
    <x:row r="57">
      <x:c r="B57" s="43"/>
      <x:c r="C57" s="43"/>
      <x:c r="D57" s="43"/>
    </x:row>
    <x:row r="58">
      <x:c r="B58" s="43"/>
      <x:c r="C58" s="43"/>
      <x:c r="D58" s="43"/>
    </x:row>
    <x:row r="59">
      <x:c r="B59" s="43"/>
      <x:c r="C59" s="43"/>
      <x:c r="D59" s="43"/>
    </x:row>
    <x:row r="60">
      <x:c r="B60" s="43"/>
      <x:c r="C60" s="43"/>
      <x:c r="D60" s="43"/>
    </x:row>
  </x:sheetData>
  <x:conditionalFormatting sqref="B36:D36">
    <x:cfRule type="expression" dxfId="7" priority="1">
      <x:formula>B36="OK"</x:formula>
    </x:cfRule>
    <x:cfRule type="expression" dxfId="6" priority="2">
      <x:formula>B36="CHECK"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E75B6"/>
  </x:sheetPr>
  <x:sheetViews>
    <x:sheetView showGridLines="0" workbookViewId="0"/>
  </x:sheetViews>
  <x:sheetFormatPr defaultColWidth="8.6640625" defaultRowHeight="14.399999618530273"/>
  <x:cols>
    <x:col min="1" max="1" width="40" customWidth="1"/>
    <x:col min="2" max="4" width="16" customWidth="1"/>
  </x:cols>
  <x:sheetData>
    <x:row r="1" ht="17.399999618530273">
      <x:c r="A1" s="11" t="s">
        <x:v>131</x:v>
      </x:c>
    </x:row>
    <x:row r="2">
      <x:c r="A2" s="10" t="s">
        <x:v>19</x:v>
      </x:c>
    </x:row>
    <x:row r="4">
      <x:c r="A4" s="20" t="s">
        <x:v>132</x:v>
      </x:c>
    </x:row>
    <x:row r="5">
      <x:c r="A5" s="12"/>
      <x:c r="B5" s="47" t="s">
        <x:v>20</x:v>
      </x:c>
      <x:c r="C5" s="47" t="s">
        <x:v>21</x:v>
      </x:c>
      <x:c r="D5" s="47" t="s">
        <x:v>22</x:v>
      </x:c>
    </x:row>
    <x:row r="6">
      <x:c r="A6" s="16" t="s">
        <x:v>133</x:v>
      </x:c>
      <x:c r="B6" s="46">
        <x:v>3099.3</x:v>
      </x:c>
      <x:c r="C6" s="46">
        <x:v>3373.8</x:v>
      </x:c>
      <x:c r="D6" s="46">
        <x:v>3430.8</x:v>
      </x:c>
    </x:row>
    <x:row r="7">
      <x:c r="A7" s="13" t="s">
        <x:v>134</x:v>
      </x:c>
      <x:c r="B7" s="35">
        <x:v>1417.3</x:v>
      </x:c>
      <x:c r="C7" s="35">
        <x:v>1647</x:v>
      </x:c>
      <x:c r="D7" s="35">
        <x:v>1733</x:v>
      </x:c>
    </x:row>
    <x:row r="8">
      <x:c r="A8" s="13" t="s">
        <x:v>135</x:v>
      </x:c>
      <x:c r="B8" s="35"/>
      <x:c r="C8" s="35">
        <x:v>1494.1</x:v>
      </x:c>
      <x:c r="D8" s="35">
        <x:v>1512.1</x:v>
      </x:c>
    </x:row>
    <x:row r="9">
      <x:c r="A9" s="13" t="s">
        <x:v>136</x:v>
      </x:c>
      <x:c r="B9" s="35"/>
      <x:c r="C9" s="35">
        <x:v>94.8</x:v>
      </x:c>
      <x:c r="D9" s="35">
        <x:v>167.5</x:v>
      </x:c>
    </x:row>
    <x:row r="10">
      <x:c r="A10" s="13" t="s">
        <x:v>137</x:v>
      </x:c>
      <x:c r="B10" s="35"/>
      <x:c r="C10" s="35">
        <x:v>58.3</x:v>
      </x:c>
      <x:c r="D10" s="35">
        <x:v>53.4</x:v>
      </x:c>
    </x:row>
    <x:row r="11">
      <x:c r="A11" s="13" t="s">
        <x:v>138</x:v>
      </x:c>
      <x:c r="B11" s="35">
        <x:v>1266.7</x:v>
      </x:c>
      <x:c r="C11" s="35">
        <x:v>1330.1</x:v>
      </x:c>
      <x:c r="D11" s="35">
        <x:v>1339</x:v>
      </x:c>
    </x:row>
    <x:row r="12">
      <x:c r="A12" s="13" t="s">
        <x:v>139</x:v>
      </x:c>
      <x:c r="B12" s="35">
        <x:v>373</x:v>
      </x:c>
      <x:c r="C12" s="35">
        <x:v>341.4</x:v>
      </x:c>
      <x:c r="D12" s="35">
        <x:v>308.3</x:v>
      </x:c>
    </x:row>
    <x:row r="13">
      <x:c r="A13" s="13" t="s">
        <x:v>140</x:v>
      </x:c>
      <x:c r="B13" s="35">
        <x:v>42.4</x:v>
      </x:c>
      <x:c r="C13" s="35">
        <x:v>55.3</x:v>
      </x:c>
      <x:c r="D13" s="35">
        <x:v>50.6</x:v>
      </x:c>
    </x:row>
    <x:row r="14">
      <x:c r="A14" s="16" t="s">
        <x:v>141</x:v>
      </x:c>
      <x:c r="B14" s="46">
        <x:v>575.4</x:v>
      </x:c>
      <x:c r="C14" s="46">
        <x:v>606</x:v>
      </x:c>
      <x:c r="D14" s="46">
        <x:v>638.9</x:v>
      </x:c>
    </x:row>
    <x:row r="15">
      <x:c r="A15" s="16" t="s">
        <x:v>142</x:v>
      </x:c>
      <x:c r="B15" s="57" t="n">
        <x:f>'Income Statement'!B5</x:f>
        <x:v>3674.7</x:v>
      </x:c>
      <x:c r="C15" s="57" t="n">
        <x:f>'Income Statement'!C5</x:f>
        <x:v>3979.9</x:v>
      </x:c>
      <x:c r="D15" s="57" t="n">
        <x:f>'Income Statement'!D5</x:f>
        <x:v>4069.8</x:v>
      </x:c>
    </x:row>
    <x:row r="16">
      <x:c r="B16" s="58"/>
      <x:c r="C16" s="58"/>
      <x:c r="D16" s="58"/>
    </x:row>
    <x:row r="17">
      <x:c r="B17" s="43"/>
      <x:c r="C17" s="43"/>
      <x:c r="D17" s="43"/>
    </x:row>
    <x:row r="18">
      <x:c r="A18" s="20" t="s">
        <x:v>143</x:v>
      </x:c>
      <x:c r="B18" s="43"/>
      <x:c r="C18" s="43"/>
      <x:c r="D18" s="43"/>
    </x:row>
    <x:row r="19">
      <x:c r="A19" s="12"/>
      <x:c r="B19" s="47" t="s">
        <x:v>20</x:v>
      </x:c>
      <x:c r="C19" s="47" t="s">
        <x:v>21</x:v>
      </x:c>
      <x:c r="D19" s="47" t="s">
        <x:v>22</x:v>
      </x:c>
    </x:row>
    <x:row r="20">
      <x:c r="A20" s="9" t="s">
        <x:v>144</x:v>
      </x:c>
      <x:c r="B20" s="35">
        <x:v>1618.6</x:v>
      </x:c>
      <x:c r="C20" s="35">
        <x:v>1793.3</x:v>
      </x:c>
      <x:c r="D20" s="35">
        <x:v>1846.8</x:v>
      </x:c>
    </x:row>
    <x:row r="21">
      <x:c r="A21" s="9" t="s">
        <x:v>145</x:v>
      </x:c>
      <x:c r="B21" s="35">
        <x:v>227.9</x:v>
      </x:c>
      <x:c r="C21" s="35">
        <x:v>261.60000000000002</x:v>
      </x:c>
      <x:c r="D21" s="35">
        <x:v>274.7</x:v>
      </x:c>
    </x:row>
    <x:row r="22">
      <x:c r="A22" s="9" t="s">
        <x:v>146</x:v>
      </x:c>
      <x:c r="B22" s="35">
        <x:v>1190.8</x:v>
      </x:c>
      <x:c r="C22" s="35">
        <x:v>1268.5999999999999</x:v>
      </x:c>
      <x:c r="D22" s="35">
        <x:v>1313.9</x:v>
      </x:c>
    </x:row>
    <x:row r="23">
      <x:c r="A23" s="9" t="s">
        <x:v>147</x:v>
      </x:c>
      <x:c r="B23" s="35">
        <x:v>637.4</x:v>
      </x:c>
      <x:c r="C23" s="35">
        <x:v>656.3</x:v>
      </x:c>
      <x:c r="D23" s="35">
        <x:v>634.4</x:v>
      </x:c>
    </x:row>
    <x:row r="24">
      <x:c r="A24" s="16" t="s">
        <x:v>142</x:v>
      </x:c>
      <x:c r="B24" s="57" t="n">
        <x:f>'Income Statement'!B5</x:f>
        <x:v>3674.7</x:v>
      </x:c>
      <x:c r="C24" s="57" t="n">
        <x:f>'Income Statement'!C5</x:f>
        <x:v>3979.9</x:v>
      </x:c>
      <x:c r="D24" s="57" t="n">
        <x:f>'Income Statement'!D5</x:f>
        <x:v>4069.8</x:v>
      </x:c>
    </x:row>
    <x:row r="25">
      <x:c r="B25" s="58"/>
      <x:c r="C25" s="58"/>
      <x:c r="D25" s="58"/>
    </x:row>
    <x:row r="26">
      <x:c r="B26" s="43"/>
      <x:c r="C26" s="43"/>
      <x:c r="D26" s="43"/>
    </x:row>
    <x:row r="27">
      <x:c r="A27" s="20" t="s">
        <x:v>148</x:v>
      </x:c>
      <x:c r="B27" s="43"/>
      <x:c r="C27" s="43"/>
      <x:c r="D27" s="43"/>
    </x:row>
    <x:row r="28">
      <x:c r="A28" s="12"/>
      <x:c r="B28" s="47" t="s">
        <x:v>20</x:v>
      </x:c>
      <x:c r="C28" s="47" t="s">
        <x:v>21</x:v>
      </x:c>
      <x:c r="D28" s="47" t="s">
        <x:v>22</x:v>
      </x:c>
    </x:row>
    <x:row r="29">
      <x:c r="A29" s="9" t="s">
        <x:v>149</x:v>
      </x:c>
      <x:c r="B29" s="35">
        <x:v>289.8</x:v>
      </x:c>
      <x:c r="C29" s="35">
        <x:v>265.60000000000002</x:v>
      </x:c>
      <x:c r="D29" s="35">
        <x:v>282.3</x:v>
      </x:c>
    </x:row>
    <x:row r="30">
      <x:c r="A30" s="9" t="s">
        <x:v>150</x:v>
      </x:c>
      <x:c r="B30" s="35">
        <x:v>3027.3</x:v>
      </x:c>
      <x:c r="C30" s="35">
        <x:v>3324.7</x:v>
      </x:c>
      <x:c r="D30" s="35">
        <x:v>3393.2</x:v>
      </x:c>
    </x:row>
    <x:row r="31">
      <x:c r="A31" s="9" t="s">
        <x:v>151</x:v>
      </x:c>
      <x:c r="B31" s="35">
        <x:v>247.8</x:v>
      </x:c>
      <x:c r="C31" s="35">
        <x:v>243.6</x:v>
      </x:c>
      <x:c r="D31" s="35">
        <x:v>254.1</x:v>
      </x:c>
    </x:row>
    <x:row r="32">
      <x:c r="A32" s="9" t="s">
        <x:v>152</x:v>
      </x:c>
      <x:c r="B32" s="35">
        <x:v>60.1</x:v>
      </x:c>
      <x:c r="C32" s="35">
        <x:v>62</x:v>
      </x:c>
      <x:c r="D32" s="35">
        <x:v>61.9</x:v>
      </x:c>
    </x:row>
    <x:row r="33">
      <x:c r="A33" s="9" t="s">
        <x:v>153</x:v>
      </x:c>
      <x:c r="B33" s="35">
        <x:v>49.6</x:v>
      </x:c>
      <x:c r="C33" s="35">
        <x:v>84</x:v>
      </x:c>
      <x:c r="D33" s="35">
        <x:v>78.3</x:v>
      </x:c>
    </x:row>
    <x:row r="34">
      <x:c r="A34" s="16" t="s">
        <x:v>142</x:v>
      </x:c>
      <x:c r="B34" s="57" t="n">
        <x:f>'Income Statement'!B5</x:f>
        <x:v>3674.7</x:v>
      </x:c>
      <x:c r="C34" s="57" t="n">
        <x:f>'Income Statement'!C5</x:f>
        <x:v>3979.9</x:v>
      </x:c>
      <x:c r="D34" s="57" t="n">
        <x:f>'Income Statement'!D5</x:f>
        <x:v>4069.8</x:v>
      </x:c>
    </x:row>
    <x:row r="35">
      <x:c r="B35" s="58"/>
      <x:c r="C35" s="58"/>
      <x:c r="D35" s="58"/>
    </x:row>
    <x:row r="36">
      <x:c r="A36" s="10" t="s">
        <x:v>154</x:v>
      </x:c>
      <x:c r="B36" s="43"/>
      <x:c r="C36" s="43"/>
      <x:c r="D36" s="43"/>
    </x:row>
    <x:row r="37">
      <x:c r="A37" s="10" t="s">
        <x:v>155</x:v>
      </x:c>
      <x:c r="B37" s="43"/>
      <x:c r="C37" s="43"/>
      <x:c r="D37" s="43"/>
    </x:row>
    <x:row r="38">
      <x:c r="B38" s="43"/>
      <x:c r="C38" s="43"/>
      <x:c r="D38" s="43"/>
    </x:row>
    <x:row r="39">
      <x:c r="B39" s="43"/>
      <x:c r="C39" s="43"/>
      <x:c r="D39" s="43"/>
    </x:row>
    <x:row r="40">
      <x:c r="B40" s="43"/>
      <x:c r="C40" s="43"/>
      <x:c r="D40" s="43"/>
    </x:row>
    <x:row r="41">
      <x:c r="B41" s="43"/>
      <x:c r="C41" s="43"/>
      <x:c r="D41" s="43"/>
    </x:row>
    <x:row r="42">
      <x:c r="B42" s="43"/>
      <x:c r="C42" s="43"/>
      <x:c r="D42" s="43"/>
    </x:row>
    <x:row r="43">
      <x:c r="B43" s="43"/>
      <x:c r="C43" s="43"/>
      <x:c r="D43" s="43"/>
    </x:row>
    <x:row r="44">
      <x:c r="B44" s="43"/>
      <x:c r="C44" s="43"/>
      <x:c r="D44" s="43"/>
    </x:row>
    <x:row r="45">
      <x:c r="B45" s="43"/>
      <x:c r="C45" s="43"/>
      <x:c r="D45" s="43"/>
    </x:row>
    <x:row r="46">
      <x:c r="B46" s="43"/>
      <x:c r="C46" s="43"/>
      <x:c r="D46" s="43"/>
    </x:row>
    <x:row r="47">
      <x:c r="B47" s="43"/>
      <x:c r="C47" s="43"/>
      <x:c r="D47" s="43"/>
    </x:row>
    <x:row r="48">
      <x:c r="B48" s="43"/>
      <x:c r="C48" s="43"/>
      <x:c r="D48" s="43"/>
    </x:row>
    <x:row r="49">
      <x:c r="B49" s="43"/>
      <x:c r="C49" s="43"/>
      <x:c r="D49" s="43"/>
    </x:row>
    <x:row r="50">
      <x:c r="B50" s="43"/>
      <x:c r="C50" s="43"/>
      <x:c r="D50" s="43"/>
    </x:row>
    <x:row r="51">
      <x:c r="B51" s="43"/>
      <x:c r="C51" s="43"/>
      <x:c r="D51" s="43"/>
    </x:row>
    <x:row r="52">
      <x:c r="B52" s="43"/>
      <x:c r="C52" s="43"/>
      <x:c r="D52" s="43"/>
    </x:row>
    <x:row r="53">
      <x:c r="B53" s="43"/>
      <x:c r="C53" s="43"/>
      <x:c r="D53" s="43"/>
    </x:row>
    <x:row r="54">
      <x:c r="B54" s="43"/>
      <x:c r="C54" s="43"/>
      <x:c r="D54" s="43"/>
    </x:row>
    <x:row r="55">
      <x:c r="B55" s="43"/>
      <x:c r="C55" s="43"/>
      <x:c r="D55" s="43"/>
    </x:row>
    <x:row r="56">
      <x:c r="B56" s="43"/>
      <x:c r="C56" s="43"/>
      <x:c r="D56" s="43"/>
    </x:row>
    <x:row r="57">
      <x:c r="B57" s="43"/>
      <x:c r="C57" s="43"/>
      <x:c r="D57" s="43"/>
    </x:row>
    <x:row r="58">
      <x:c r="B58" s="43"/>
      <x:c r="C58" s="43"/>
      <x:c r="D58" s="43"/>
    </x:row>
    <x:row r="59">
      <x:c r="B59" s="43"/>
      <x:c r="C59" s="43"/>
      <x:c r="D59" s="43"/>
    </x:row>
    <x:row r="60">
      <x:c r="B60" s="43"/>
      <x:c r="C60" s="43"/>
      <x:c r="D60" s="43"/>
    </x:row>
  </x:sheetData>
  <x:conditionalFormatting sqref="B16:D16">
    <x:cfRule type="expression" dxfId="5" priority="4">
      <x:formula>B16="OK"</x:formula>
    </x:cfRule>
    <x:cfRule type="expression" dxfId="4" priority="5">
      <x:formula>B16="CHECK"</x:formula>
    </x:cfRule>
  </x:conditionalFormatting>
  <x:conditionalFormatting sqref="B25:D25">
    <x:cfRule type="expression" dxfId="3" priority="6">
      <x:formula>B25="OK"</x:formula>
    </x:cfRule>
    <x:cfRule type="expression" dxfId="2" priority="7">
      <x:formula>B25="CHECK"</x:formula>
    </x:cfRule>
  </x:conditionalFormatting>
  <x:conditionalFormatting sqref="B35:D35">
    <x:cfRule type="expression" dxfId="1" priority="8">
      <x:formula>B35="OK"</x:formula>
    </x:cfRule>
    <x:cfRule type="expression" dxfId="0" priority="9">
      <x:formula>B35="CHECK"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E75B6"/>
  </x:sheetPr>
  <x:sheetViews>
    <x:sheetView showGridLines="0" workbookViewId="0"/>
  </x:sheetViews>
  <x:sheetFormatPr defaultColWidth="8.6640625" defaultRowHeight="14.399999618530273"/>
  <x:cols>
    <x:col min="1" max="1" width="40" customWidth="1"/>
    <x:col min="2" max="4" width="16" customWidth="1"/>
  </x:cols>
  <x:sheetData>
    <x:row r="1" ht="17.399999618530273">
      <x:c r="A1" s="11" t="s">
        <x:v>156</x:v>
      </x:c>
    </x:row>
    <x:row r="2">
      <x:c r="A2" s="10" t="s">
        <x:v>157</x:v>
      </x:c>
    </x:row>
    <x:row r="4">
      <x:c r="A4" s="12"/>
      <x:c r="B4" s="12" t="s">
        <x:v>20</x:v>
      </x:c>
      <x:c r="C4" s="12" t="s">
        <x:v>21</x:v>
      </x:c>
      <x:c r="D4" s="12" t="s">
        <x:v>22</x:v>
      </x:c>
    </x:row>
    <x:row r="5">
      <x:c r="A5" s="18" t="s">
        <x:v>158</x:v>
      </x:c>
      <x:c r="B5" s="19"/>
      <x:c r="C5" s="19"/>
      <x:c r="D5" s="19"/>
    </x:row>
    <x:row r="6">
      <x:c r="A6" s="9" t="s">
        <x:v>159</x:v>
      </x:c>
      <x:c r="B6" s="52" t="n">
        <x:f>'Income Statement'!B8</x:f>
        <x:v>0.5598552262769749</x:v>
      </x:c>
      <x:c r="C6" s="52" t="n">
        <x:f>'Income Statement'!C8</x:f>
        <x:v>0.5566220256790372</x:v>
      </x:c>
      <x:c r="D6" s="52" t="n">
        <x:f>'Income Statement'!D8</x:f>
        <x:v>0.5673006044523072</x:v>
      </x:c>
    </x:row>
    <x:row r="7">
      <x:c r="A7" s="9" t="s">
        <x:v>160</x:v>
      </x:c>
      <x:c r="B7" s="52" t="n">
        <x:f>'Income Statement'!B17</x:f>
        <x:v>0.16589109315046124</x:v>
      </x:c>
      <x:c r="C7" s="52" t="n">
        <x:f>'Income Statement'!C17</x:f>
        <x:v>0.1691248523832258</x:v>
      </x:c>
      <x:c r="D7" s="52" t="n">
        <x:f>'Income Statement'!D17</x:f>
        <x:v>0.17885399773944677</x:v>
      </x:c>
    </x:row>
    <x:row r="8">
      <x:c r="A8" s="9" t="s">
        <x:v>161</x:v>
      </x:c>
      <x:c r="B8" s="52" t="n">
        <x:f>'Income Statement'!B39</x:f>
        <x:v>0.22516123765205323</x:v>
      </x:c>
      <x:c r="C8" s="52" t="n">
        <x:f>'Income Statement'!C39</x:f>
        <x:v>0.22962888514786803</x:v>
      </x:c>
      <x:c r="D8" s="52" t="n">
        <x:f>'Income Statement'!D39</x:f>
        <x:v>0.23581011351909184</x:v>
      </x:c>
    </x:row>
    <x:row r="9">
      <x:c r="A9" s="9" t="s">
        <x:v>162</x:v>
      </x:c>
      <x:c r="B9" s="52" t="n">
        <x:f>'Income Statement'!B22/'Income Statement'!B5</x:f>
        <x:v>0.11946553460146404</x:v>
      </x:c>
      <x:c r="C9" s="52" t="n">
        <x:f>'Income Statement'!C22/'Income Statement'!C5</x:f>
        <x:v>0.14794341566371025</x:v>
      </x:c>
      <x:c r="D9" s="52" t="n">
        <x:f>'Income Statement'!D22/'Income Statement'!D5</x:f>
        <x:v>0.1280898324241979</x:v>
      </x:c>
    </x:row>
    <x:row r="10">
      <x:c r="A10" s="9" t="s">
        <x:v>163</x:v>
      </x:c>
      <x:c r="B10" s="52" t="n">
        <x:f>'Income Statement'!B31</x:f>
        <x:v>0.09731406645440442</x:v>
      </x:c>
      <x:c r="C10" s="52" t="n">
        <x:f>'Income Statement'!C31</x:f>
        <x:v>0.10859569335912972</x:v>
      </x:c>
      <x:c r="D10" s="52" t="n">
        <x:f>'Income Statement'!D31</x:f>
        <x:v>0.09767064720625107</x:v>
      </x:c>
    </x:row>
    <x:row r="11">
      <x:c r="A11" s="9" t="s">
        <x:v>164</x:v>
      </x:c>
      <x:c r="B11" s="52" t="n">
        <x:f>-'Income Statement'!B13/'Income Statement'!B5</x:f>
        <x:v>0.12520749993196725</x:v>
      </x:c>
      <x:c r="C11" s="52" t="n">
        <x:f>-'Income Statement'!C13/'Income Statement'!C5</x:f>
        <x:v>0.12349556521520641</x:v>
      </x:c>
      <x:c r="D11" s="52" t="n">
        <x:f>-'Income Statement'!D13/'Income Statement'!D5</x:f>
        <x:v>0.12467443117597915</x:v>
      </x:c>
    </x:row>
    <x:row r="12">
      <x:c r="A12" s="9" t="s">
        <x:v>165</x:v>
      </x:c>
      <x:c r="B12" s="52" t="n">
        <x:f>-SUM('Income Statement'!B11:B12)/'Income Statement'!B5</x:f>
        <x:v>0.2777097450131984</x:v>
      </x:c>
      <x:c r="C12" s="52" t="n">
        <x:f>-SUM('Income Statement'!C11:C12)/'Income Statement'!C5</x:f>
        <x:v>0.2757858237644162</x:v>
      </x:c>
      <x:c r="D12" s="52" t="n">
        <x:f>-SUM('Income Statement'!D11:D12)/'Income Statement'!D5</x:f>
        <x:v>0.2730355300014743</x:v>
      </x:c>
    </x:row>
    <x:row r="13">
      <x:c r="A13" s="9" t="s">
        <x:v>166</x:v>
      </x:c>
      <x:c r="B13" s="52" t="n">
        <x:f>-'Income Statement'!B26/SUM('Income Statement'!B22,'Income Statement'!B24:B25)</x:f>
        <x:v>0.2618339812485708</x:v>
      </x:c>
      <x:c r="C13" s="52" t="n">
        <x:f>-'Income Statement'!C26/SUM('Income Statement'!C22,'Income Statement'!C24:C25)</x:f>
        <x:v>0.26630997583707267</x:v>
      </x:c>
      <x:c r="D13" s="52" t="n">
        <x:f>-'Income Statement'!D26/SUM('Income Statement'!D22,'Income Statement'!D24:D25)</x:f>
        <x:v>0.24505327245053246</x:v>
      </x:c>
    </x:row>
    <x:row r="14">
      <x:c r="A14" s="9"/>
      <x:c r="B14" s="24"/>
      <x:c r="C14" s="24"/>
      <x:c r="D14" s="24"/>
    </x:row>
    <x:row r="15">
      <x:c r="A15" s="18" t="s">
        <x:v>167</x:v>
      </x:c>
      <x:c r="B15" s="25"/>
      <x:c r="C15" s="25"/>
      <x:c r="D15" s="25"/>
    </x:row>
    <x:row r="16">
      <x:c r="A16" s="9" t="s">
        <x:v>168</x:v>
      </x:c>
      <x:c r="B16" s="52"/>
      <x:c r="C16" s="52" t="n">
        <x:f>'Income Statement'!C5/'Income Statement'!B5-1</x:f>
        <x:v>0.08305439899855771</x:v>
      </x:c>
      <x:c r="D16" s="52" t="n">
        <x:f>'Income Statement'!D5/'Income Statement'!C5-1</x:f>
        <x:v>0.022588507248925804</x:v>
      </x:c>
    </x:row>
    <x:row r="17">
      <x:c r="A17" s="9" t="s">
        <x:v>169</x:v>
      </x:c>
      <x:c r="B17" s="53"/>
      <x:c r="C17" s="53">
        <x:v>0.10299999999999999</x:v>
      </x:c>
      <x:c r="D17" s="53">
        <x:v>6.2E-2</x:v>
      </x:c>
    </x:row>
    <x:row r="18">
      <x:c r="A18" s="9" t="s">
        <x:v>170</x:v>
      </x:c>
      <x:c r="B18" s="52"/>
      <x:c r="C18" s="52" t="n">
        <x:f>'Income Statement'!C7/'Income Statement'!B7-1</x:f>
        <x:v>0.07679968891265276</x:v>
      </x:c>
      <x:c r="D18" s="52" t="n">
        <x:f>'Income Statement'!D7/'Income Statement'!C7-1</x:f>
        <x:v>0.04220647316390558</x:v>
      </x:c>
    </x:row>
    <x:row r="19">
      <x:c r="A19" s="9" t="s">
        <x:v>171</x:v>
      </x:c>
      <x:c r="B19" s="52"/>
      <x:c r="C19" s="52" t="n">
        <x:f>'Income Statement'!C16/'Income Statement'!B16-1</x:f>
        <x:v>0.1041666666666674</x:v>
      </x:c>
      <x:c r="D19" s="52" t="n">
        <x:f>'Income Statement'!D16/'Income Statement'!C16-1</x:f>
        <x:v>0.08141435150794862</x:v>
      </x:c>
    </x:row>
    <x:row r="20">
      <x:c r="A20" s="9" t="s">
        <x:v>172</x:v>
      </x:c>
      <x:c r="B20" s="52"/>
      <x:c r="C20" s="52" t="n">
        <x:f>'Income Statement'!C38/'Income Statement'!B38-1</x:f>
        <x:v>0.10454435581339139</x:v>
      </x:c>
      <x:c r="D20" s="52" t="n">
        <x:f>'Income Statement'!D38/'Income Statement'!C38-1</x:f>
        <x:v>0.05011489222015553</x:v>
      </x:c>
    </x:row>
    <x:row r="21">
      <x:c r="A21" s="9" t="s">
        <x:v>173</x:v>
      </x:c>
      <x:c r="B21" s="52"/>
      <x:c r="C21" s="52" t="n">
        <x:f>'Income Statement'!C30/'Income Statement'!B30-1</x:f>
        <x:v>0.20861297539150025</x:v>
      </x:c>
      <x:c r="D21" s="52" t="n">
        <x:f>'Income Statement'!D30/'Income Statement'!C30-1</x:f>
        <x:v>-0.08028690421101281</x:v>
      </x:c>
    </x:row>
    <x:row r="22">
      <x:c r="A22" s="9"/>
      <x:c r="B22" s="24"/>
      <x:c r="C22" s="24"/>
      <x:c r="D22" s="24"/>
    </x:row>
    <x:row r="23">
      <x:c r="A23" s="18" t="s">
        <x:v>174</x:v>
      </x:c>
      <x:c r="B23" s="25"/>
      <x:c r="C23" s="25"/>
      <x:c r="D23" s="25"/>
    </x:row>
    <x:row r="24">
      <x:c r="A24" s="9" t="s">
        <x:v>175</x:v>
      </x:c>
      <x:c r="B24" s="52"/>
      <x:c r="C24" s="52" t="n">
        <x:f>'Income Statement'!C30/AVERAGE('Balance Sheet'!B30,'Balance Sheet'!C30)</x:f>
        <x:v>0.10863254200651</x:v>
      </x:c>
      <x:c r="D24" s="52" t="n">
        <x:f>'Income Statement'!D30/AVERAGE('Balance Sheet'!C30,'Balance Sheet'!D30)</x:f>
        <x:v>0.09570241964608177</x:v>
      </x:c>
    </x:row>
    <x:row r="25">
      <x:c r="A25" s="9" t="s">
        <x:v>176</x:v>
      </x:c>
      <x:c r="B25" s="52"/>
      <x:c r="C25" s="52" t="n">
        <x:f>'Income Statement'!C30/AVERAGE('Balance Sheet'!B24,'Balance Sheet'!C24)</x:f>
        <x:v>0.07837377144307844</x:v>
      </x:c>
      <x:c r="D25" s="52" t="n">
        <x:f>'Income Statement'!D30/AVERAGE('Balance Sheet'!C24,'Balance Sheet'!D24)</x:f>
        <x:v>0.07007677593942556</x:v>
      </x:c>
    </x:row>
    <x:row r="26">
      <x:c r="A26" s="9" t="s">
        <x:v>177</x:v>
      </x:c>
      <x:c r="B26" s="52"/>
      <x:c r="C26" s="52" t="n">
        <x:f>('Income Statement'!C16*(1-C13))/AVERAGE(('Balance Sheet'!B30+'Balance Sheet'!B34+'Balance Sheet'!B39-'Balance Sheet'!B21),('Balance Sheet'!C30+'Balance Sheet'!C34+'Balance Sheet'!C39-'Balance Sheet'!C21))</x:f>
        <x:v>0.12097563942581616</x:v>
      </x:c>
      <x:c r="D26" s="52" t="n">
        <x:f>('Income Statement'!D16*(1-D13))/AVERAGE(('Balance Sheet'!C30+'Balance Sheet'!C34+'Balance Sheet'!C39-'Balance Sheet'!C21),('Balance Sheet'!D30+'Balance Sheet'!D34+'Balance Sheet'!D39-'Balance Sheet'!D21))</x:f>
        <x:v>0.13338812378985568</x:v>
      </x:c>
    </x:row>
    <x:row r="27">
      <x:c r="A27" s="9"/>
      <x:c r="B27" s="24"/>
      <x:c r="C27" s="24"/>
      <x:c r="D27" s="24"/>
    </x:row>
    <x:row r="28">
      <x:c r="A28" s="18" t="s">
        <x:v>178</x:v>
      </x:c>
      <x:c r="B28" s="25"/>
      <x:c r="C28" s="25"/>
      <x:c r="D28" s="25"/>
    </x:row>
    <x:row r="29">
      <x:c r="A29" s="9" t="s">
        <x:v>179</x:v>
      </x:c>
      <x:c r="B29" s="26" t="n">
        <x:f>'Cash Flow'!B16</x:f>
        <x:v>115.29999999999995</x:v>
      </x:c>
      <x:c r="C29" s="26" t="n">
        <x:f>'Cash Flow'!C16</x:f>
        <x:v>329.69999999999993</x:v>
      </x:c>
      <x:c r="D29" s="26" t="n">
        <x:f>'Cash Flow'!D16</x:f>
        <x:v>462.40000000000003</x:v>
      </x:c>
    </x:row>
    <x:row r="30">
      <x:c r="A30" s="9" t="s">
        <x:v>180</x:v>
      </x:c>
      <x:c r="B30" s="52" t="n">
        <x:f>B29/'Income Statement'!B5</x:f>
        <x:v>0.03137671102402916</x:v>
      </x:c>
      <x:c r="C30" s="52" t="n">
        <x:f>C29/'Income Statement'!C5</x:f>
        <x:v>0.0828412774190306</x:v>
      </x:c>
      <x:c r="D30" s="52" t="n">
        <x:f>D29/'Income Statement'!D5</x:f>
        <x:v>0.11361737677527152</x:v>
      </x:c>
    </x:row>
    <x:row r="31">
      <x:c r="A31" s="9" t="s">
        <x:v>181</x:v>
      </x:c>
      <x:c r="B31" s="26" t="n">
        <x:f>-'Cash Flow'!B13</x:f>
        <x:v>338.3</x:v>
      </x:c>
      <x:c r="C31" s="26" t="n">
        <x:f>-'Cash Flow'!C13</x:f>
        <x:v>345.8</x:v>
      </x:c>
      <x:c r="D31" s="26" t="n">
        <x:f>-'Cash Flow'!D13</x:f>
        <x:v>335.3</x:v>
      </x:c>
    </x:row>
    <x:row r="32">
      <x:c r="A32" s="9" t="s">
        <x:v>182</x:v>
      </x:c>
      <x:c r="B32" s="52" t="n">
        <x:f>B31/'Income Statement'!B5</x:f>
        <x:v>0.09206193702887311</x:v>
      </x:c>
      <x:c r="C32" s="52" t="n">
        <x:f>C31/'Income Statement'!C5</x:f>
        <x:v>0.08688660519108521</x:v>
      </x:c>
      <x:c r="D32" s="52" t="n">
        <x:f>D31/'Income Statement'!D5</x:f>
        <x:v>0.0823873409012728</x:v>
      </x:c>
    </x:row>
    <x:row r="33">
      <x:c r="A33" s="9" t="s">
        <x:v>183</x:v>
      </x:c>
      <x:c r="B33" s="52" t="n">
        <x:f>B29/'Income Statement'!B38</x:f>
        <x:v>0.13935218757553777</x:v>
      </x:c>
      <x:c r="C33" s="52" t="n">
        <x:f>C29/'Income Statement'!C38</x:f>
        <x:v>0.360761571287887</x:v>
      </x:c>
      <x:c r="D33" s="52" t="n">
        <x:f>D29/'Income Statement'!D38</x:f>
        <x:v>0.48181723455246434</x:v>
      </x:c>
    </x:row>
    <x:row r="34">
      <x:c r="A34" s="9"/>
      <x:c r="B34" s="24"/>
      <x:c r="C34" s="24"/>
      <x:c r="D34" s="24"/>
    </x:row>
    <x:row r="35">
      <x:c r="A35" s="18" t="s">
        <x:v>184</x:v>
      </x:c>
      <x:c r="B35" s="25"/>
      <x:c r="C35" s="25"/>
      <x:c r="D35" s="25"/>
    </x:row>
    <x:row r="36">
      <x:c r="A36" s="9" t="s">
        <x:v>185</x:v>
      </x:c>
      <x:c r="B36" s="26" t="n">
        <x:f>'Balance Sheet'!B21-'Balance Sheet'!B34-'Balance Sheet'!B39</x:f>
        <x:v>-166.4</x:v>
      </x:c>
      <x:c r="C36" s="26" t="n">
        <x:f>'Balance Sheet'!C21-'Balance Sheet'!C34-'Balance Sheet'!C39</x:f>
        <x:v>-40.89999999999998</x:v>
      </x:c>
      <x:c r="D36" s="24" t="n">
        <x:f>'Balance Sheet'!D21-'Balance Sheet'!D34-'Balance Sheet'!D39</x:f>
        <x:v>108.39999999999995</x:v>
      </x:c>
    </x:row>
    <x:row r="37">
      <x:c r="A37" s="9" t="s">
        <x:v>186</x:v>
      </x:c>
      <x:c r="B37" s="54" t="n">
        <x:f>('Balance Sheet'!B34+'Balance Sheet'!B39-'Balance Sheet'!B21)/'Income Statement'!B38</x:f>
        <x:v>0.20111191684795743</x:v>
      </x:c>
      <x:c r="C37" s="54" t="n">
        <x:f>('Balance Sheet'!C34+'Balance Sheet'!C39-'Balance Sheet'!C21)/'Income Statement'!C38</x:f>
        <x:v>0.044753255279571046</x:v>
      </x:c>
      <x:c r="D37" s="54" t="n">
        <x:f>('Balance Sheet'!D34+'Balance Sheet'!D39-'Balance Sheet'!D21)/'Income Statement'!D38</x:f>
        <x:v>-0.11295196415546523</x:v>
      </x:c>
    </x:row>
    <x:row r="38">
      <x:c r="A38" s="9" t="s">
        <x:v>187</x:v>
      </x:c>
      <x:c r="B38" s="27" t="n">
        <x:f>'Balance Sheet'!B22/'Balance Sheet'!B45</x:f>
        <x:v>2.028143106778258</x:v>
      </x:c>
      <x:c r="C38" s="27" t="n">
        <x:f>'Balance Sheet'!C22/'Balance Sheet'!C45</x:f>
        <x:v>2.2038065027755747</x:v>
      </x:c>
      <x:c r="D38" s="27" t="n">
        <x:f>'Balance Sheet'!D22/'Balance Sheet'!D45</x:f>
        <x:v>2.3860242321780785</x:v>
      </x:c>
    </x:row>
    <x:row r="39">
      <x:c r="A39" s="9"/>
      <x:c r="B39" s="24"/>
      <x:c r="C39" s="24"/>
      <x:c r="D39" s="24"/>
    </x:row>
    <x:row r="40">
      <x:c r="A40" s="18" t="s">
        <x:v>188</x:v>
      </x:c>
      <x:c r="B40" s="25"/>
      <x:c r="C40" s="25"/>
      <x:c r="D40" s="25"/>
    </x:row>
    <x:row r="41">
      <x:c r="A41" s="9" t="s">
        <x:v>47</x:v>
      </x:c>
      <x:c r="B41" s="55" t="n">
        <x:f>'Income Statement'!B34</x:f>
        <x:v>3.01</x:v>
      </x:c>
      <x:c r="C41" s="55" t="n">
        <x:f>'Income Statement'!C34</x:f>
        <x:v>3.64</x:v>
      </x:c>
      <x:c r="D41" s="55" t="n">
        <x:f>'Income Statement'!D34</x:f>
        <x:v>3.34</x:v>
      </x:c>
    </x:row>
    <x:row r="42">
      <x:c r="A42" s="9" t="s">
        <x:v>189</x:v>
      </x:c>
      <x:c r="B42" s="55"/>
      <x:c r="C42" s="55" t="n">
        <x:f>'Income Statement'!C35</x:f>
        <x:v>4.25</x:v>
      </x:c>
      <x:c r="D42" s="55" t="n">
        <x:f>'Income Statement'!D35</x:f>
        <x:v>4.64</x:v>
      </x:c>
    </x:row>
    <x:row r="43">
      <x:c r="A43" s="9" t="s">
        <x:v>190</x:v>
      </x:c>
      <x:c r="B43" s="51">
        <x:v>0.85</x:v>
      </x:c>
      <x:c r="C43" s="51">
        <x:v>0.9</x:v>
      </x:c>
      <x:c r="D43" s="51">
        <x:v>0.98</x:v>
      </x:c>
    </x:row>
    <x:row r="44">
      <x:c r="A44" s="9" t="s">
        <x:v>191</x:v>
      </x:c>
      <x:c r="B44" s="52" t="n">
        <x:f>B43/'Income Statement'!B33</x:f>
        <x:v>0.28052805280528054</x:v>
      </x:c>
      <x:c r="C44" s="52" t="n">
        <x:f>C43/'Income Statement'!C33</x:f>
        <x:v>0.2452316076294278</x:v>
      </x:c>
      <x:c r="D44" s="52" t="n">
        <x:f>D43/'Income Statement'!D33</x:f>
        <x:v>0.29080118694362017</x:v>
      </x:c>
    </x:row>
    <x:row r="45">
      <x:c r="A45" s="9"/>
      <x:c r="B45" s="24"/>
      <x:c r="C45" s="24"/>
      <x:c r="D45" s="24"/>
    </x:row>
    <x:row r="46">
      <x:c r="A46" s="18" t="s">
        <x:v>192</x:v>
      </x:c>
      <x:c r="B46" s="25"/>
      <x:c r="C46" s="25"/>
      <x:c r="D46" s="25"/>
    </x:row>
    <x:row r="47">
      <x:c r="A47" s="9" t="s">
        <x:v>193</x:v>
      </x:c>
      <x:c r="B47" s="56">
        <x:v>14600</x:v>
      </x:c>
      <x:c r="C47" s="56">
        <x:v>14600</x:v>
      </x:c>
      <x:c r="D47" s="56">
        <x:v>15000</x:v>
      </x:c>
    </x:row>
    <x:row r="48">
      <x:c r="A48" s="9" t="s">
        <x:v>194</x:v>
      </x:c>
      <x:c r="B48" s="26" t="n">
        <x:f>'Income Statement'!B5*1000/B47</x:f>
        <x:v>251.6917808219178</x:v>
      </x:c>
      <x:c r="C48" s="26" t="n">
        <x:f>'Income Statement'!C5*1000/C47</x:f>
        <x:v>272.59589041095893</x:v>
      </x:c>
      <x:c r="D48" s="26" t="n">
        <x:f>'Income Statement'!D5*1000/D47</x:f>
        <x:v>271.32</x:v>
      </x:c>
    </x:row>
    <x:row r="49">
      <x:c r="B49" s="23"/>
      <x:c r="C49" s="23"/>
      <x:c r="D49" s="23"/>
    </x:row>
    <x:row r="50">
      <x:c r="A50" s="10" t="s">
        <x:v>195</x:v>
      </x:c>
    </x:row>
    <x:row r="51">
      <x:c r="A51" s="10" t="s">
        <x:v>196</x:v>
      </x:c>
    </x:row>
    <x:row r="52">
      <x:c r="A52" s="10" t="s">
        <x:v>197</x:v>
      </x:c>
    </x:row>
    <x:row r="53">
      <x:c r="A53" s="10" t="s">
        <x:v>198</x:v>
      </x:c>
    </x:row>
    <x:row r="54">
      <x:c r="A54" s="10" t="s">
        <x:v>199</x:v>
      </x:c>
    </x:row>
    <x:row r="55">
      <x:c r="A55" s="10" t="s">
        <x:v>200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B3A5C"/>
  </x:sheetPr>
  <x:sheetViews>
    <x:sheetView showGridLines="0" workbookViewId="0"/>
  </x:sheetViews>
  <x:sheetFormatPr defaultColWidth="8.6640625" defaultRowHeight="14.399999618530273"/>
  <x:cols>
    <x:col min="1" max="1" width="10" hidden="0" customWidth="1"/>
    <x:col min="2" max="2" width="42" hidden="0" customWidth="1"/>
    <x:col min="3" max="3" width="18" hidden="0" customWidth="1"/>
    <x:col min="4" max="4" width="75" hidden="0" customWidth="1"/>
  </x:cols>
  <x:sheetData>
    <x:row r="1" ht="17.399999618530273">
      <x:c r="A1" s="11" t="s">
        <x:v>201</x:v>
      </x:c>
    </x:row>
    <x:row r="3">
      <x:c r="A3" s="28" t="s">
        <x:v>202</x:v>
      </x:c>
      <x:c r="B3" s="28" t="s">
        <x:v>203</x:v>
      </x:c>
      <x:c r="C3" s="28" t="s">
        <x:v>204</x:v>
      </x:c>
      <x:c r="D3" s="28" t="s">
        <x:v>205</x:v>
      </x:c>
    </x:row>
    <x:row r="4" ht="39.599998474121094">
      <x:c r="A4" s="29" t="s">
        <x:v>206</x:v>
      </x:c>
      <x:c r="B4" s="30" t="s">
        <x:v>207</x:v>
      </x:c>
      <x:c r="C4" s="30" t="s">
        <x:v>208</x:v>
      </x:c>
      <x:c r="D4" s="30" t="s">
        <x:v>209</x:v>
      </x:c>
    </x:row>
    <x:row r="5" ht="39.599998474121094">
      <x:c r="A5" s="31" t="s">
        <x:v>210</x:v>
      </x:c>
      <x:c r="B5" s="32" t="s">
        <x:v>211</x:v>
      </x:c>
      <x:c r="C5" s="32" t="s">
        <x:v>212</x:v>
      </x:c>
      <x:c r="D5" s="32" t="s">
        <x:v>213</x:v>
      </x:c>
    </x:row>
    <x:row r="6" ht="26.399999618530273">
      <x:c r="A6" s="29" t="s">
        <x:v>214</x:v>
      </x:c>
      <x:c r="B6" s="30" t="s">
        <x:v>215</x:v>
      </x:c>
      <x:c r="C6" s="30" t="s">
        <x:v>216</x:v>
      </x:c>
      <x:c r="D6" s="30" t="s">
        <x:v>217</x:v>
      </x:c>
    </x:row>
    <x:row r="7" ht="26.399999618530273">
      <x:c r="A7" s="31" t="s">
        <x:v>218</x:v>
      </x:c>
      <x:c r="B7" s="32" t="s">
        <x:v>219</x:v>
      </x:c>
      <x:c r="C7" s="32" t="s">
        <x:v>220</x:v>
      </x:c>
      <x:c r="D7" s="32" t="s">
        <x:v>221</x:v>
      </x:c>
    </x:row>
    <x:row r="8" ht="43.20000076293945">
      <x:c r="A8" s="33" t="s">
        <x:v>222</x:v>
      </x:c>
      <x:c r="B8" s="33" t="s">
        <x:v>223</x:v>
      </x:c>
      <x:c r="C8" s="33" t="s">
        <x:v>224</x:v>
      </x:c>
      <x:c r="D8" s="33" t="s">
        <x:v>225</x:v>
      </x:c>
    </x:row>
    <x:row r="10">
      <x:c r="A10" s="20" t="s">
        <x:v>226</x:v>
      </x:c>
    </x:row>
    <x:row r="11">
      <x:c r="A11" s="60" t="s">
        <x:v>227</x:v>
      </x:c>
      <x:c r="B11" s="61"/>
      <x:c r="C11" s="61"/>
      <x:c r="D11" s="61"/>
    </x:row>
    <x:row r="12">
      <x:c r="A12" s="60" t="s">
        <x:v>228</x:v>
      </x:c>
      <x:c r="B12" s="61"/>
      <x:c r="C12" s="61"/>
      <x:c r="D12" s="61"/>
    </x:row>
    <x:row r="13">
      <x:c r="A13" s="60" t="s">
        <x:v>229</x:v>
      </x:c>
      <x:c r="B13" s="61"/>
      <x:c r="C13" s="61"/>
      <x:c r="D13" s="61"/>
    </x:row>
    <x:row r="14">
      <x:c r="A14" s="60" t="s">
        <x:v>230</x:v>
      </x:c>
      <x:c r="B14" s="61"/>
      <x:c r="C14" s="61"/>
      <x:c r="D14" s="61"/>
    </x:row>
    <x:row r="15">
      <x:c r="A15" s="60" t="s">
        <x:v>231</x:v>
      </x:c>
      <x:c r="B15" s="61"/>
      <x:c r="C15" s="61"/>
      <x:c r="D15" s="61"/>
    </x:row>
    <x:row r="16">
      <x:c r="A16" s="60" t="s">
        <x:v>232</x:v>
      </x:c>
      <x:c r="B16" s="61"/>
      <x:c r="C16" s="61"/>
      <x:c r="D16" s="61"/>
    </x:row>
    <x:row r="18" ht="36" customHeight="1">
      <x:c r="A18" s="182" t="str">
        <x:v>[6]</x:v>
      </x:c>
      <x:c r="B18" s="134" t="str">
        <x:v>bioMérieux H1 2026 Results &amp; 2026 Outlook Presentation</x:v>
      </x:c>
      <x:c r="C18" s="134" t="str">
        <x:v>28 July 2026</x:v>
      </x:c>
      <x:c r="D18" s="134" t="str">
        <x:v>H1 actuals; FY2026 guidance; revised FY2027–FY2028 sales and CEBIT ambitions; business-line growth ranges; cash-flow update. Key pages: 5, 10, 12–16, 18, 20–27, 33. Official investor page: https://www.biomerieux.com/corp/en/investors.html</x:v>
      </x:c>
    </x:row>
    <x:row r="19" ht="36" customHeight="1">
      <x:c r="A19" s="182" t="str">
        <x:v>[7]</x:v>
      </x:c>
      <x:c r="B19" s="134" t="str">
        <x:v>bioMérieux First-Half 2026 Results press release</x:v>
      </x:c>
      <x:c r="C19" s="134" t="str">
        <x:v>28 July 2026</x:v>
      </x:c>
      <x:c r="D19" s="134" t="str">
        <x:v>Cross-check of H1 key figures and revised FY2026 / FY2027–FY2028 guidance. https://www.biomerieux.com/corp/en/journalists/press-releases/First-Half-2026-Results.html</x:v>
      </x:c>
    </x:row>
    <x:row r="20" ht="36" customHeight="1">
      <x:c r="A20" s="182" t="str">
        <x:v>[8]</x:v>
      </x:c>
      <x:c r="B20" s="134" t="str">
        <x:v>bioMérieux H1 2026 cash-flow presentation</x:v>
      </x:c>
      <x:c r="C20" s="134" t="str">
        <x:v>28 July 2026</x:v>
      </x:c>
      <x:c r="D20" s="134" t="str">
        <x:v>H1 free cash flow €299m, capex 7.1% of sales and net cash €236m; used to refresh cash-flow assumptions. https://www.biomerieux.com/corp/en/investors/regulated-information.html</x:v>
      </x:c>
    </x:row>
    <x:row r="21" ht="36" customHeight="1">
      <x:c r="A21" s="33"/>
      <x:c r="B21" s="134"/>
      <x:c r="C21" s="134"/>
      <x:c r="D21" s="134"/>
    </x:row>
    <x:row r="22" ht="36" customHeight="1">
      <x:c r="A22" s="182" t="str">
        <x:v>Forecast methodology</x:v>
      </x:c>
      <x:c r="B22" s="134" t="str">
        <x:v>Independent base-case estimates</x:v>
      </x:c>
      <x:c r="C22" s="134" t="str">
        <x:v>19 August 2026</x:v>
      </x:c>
      <x:c r="D22" s="134" t="str">
        <x:v>Company guidance is used as an anchor. The model applies independent point estimates for business-line growth, reported-revenue FX translation, margins, capex, tax and working capital.</x:v>
      </x:c>
    </x:row>
    <x:row r="24" ht="45" customHeight="1">
      <x:c r="A24" s="182" t="str">
        <x:v>[DCF-1]</x:v>
      </x:c>
      <x:c r="B24" s="134" t="str">
        <x:v>bioMérieux Half-Year Financial Report 2026</x:v>
      </x:c>
      <x:c r="C24" s="134" t="str">
        <x:v>30 June / published July 2026</x:v>
      </x:c>
      <x:c r="D24" s="134" t="str">
        <x:v>DCF bridge inputs: net cash €235.9m; gross borrowings €418.9m; non-consolidated equity investments €111.6m; associates €0.7m; minority interests €2.1m; diluted shares 118.367848m; post-employment / employee benefit obligation €43.6m.</x:v>
      </x:c>
    </x:row>
    <x:row r="25" ht="45" customHeight="1">
      <x:c r="A25" s="182" t="str">
        <x:v>[DCF-2]</x:v>
      </x:c>
      <x:c r="B25" s="134" t="str">
        <x:v>bioMérieux Half-Year Financial Report 2026</x:v>
      </x:c>
      <x:c r="C25" s="134" t="str">
        <x:v>H1 2026</x:v>
      </x:c>
      <x:c r="D25" s="134" t="str">
        <x:v>Stub-period inputs: contributive CEBIT €313.3m derived from €299.1m operating income before NRI plus €14.2m acquisition-related costs/amortisation; EBITDA €440.3m; capex €139.5m; operating working-capital increase €19.4m; H1 tax rate 23.4%.</x:v>
      </x:c>
    </x:row>
    <x:row r="26" ht="45" customHeight="1">
      <x:c r="A26" s="182" t="str">
        <x:v>[DCF-3]</x:v>
      </x:c>
      <x:c r="B26" s="134" t="str">
        <x:v>Boursorama — bioMérieux BIM</x:v>
      </x:c>
      <x:c r="C26" s="134" t="str">
        <x:v>19 August 2026</x:v>
      </x:c>
      <x:c r="D26" s="134" t="str">
        <x:v>Current share price €73.20. https://www.boursorama.com/cours/1rPBIM/</x:v>
      </x:c>
    </x:row>
    <x:row r="27" ht="45" customHeight="1">
      <x:c r="A27" s="182" t="str">
        <x:v>[DCF-4]</x:v>
      </x:c>
      <x:c r="B27" s="134" t="str">
        <x:v>German Finance Agency — 10Y Bund reopening</x:v>
      </x:c>
      <x:c r="C27" s="134" t="str">
        <x:v>19 August 2026</x:v>
      </x:c>
      <x:c r="D27" s="134" t="str">
        <x:v>10-year Bund average yield 3.26%. https://www.deutsche-finanzagentur.de/en/federal-securities/issuances/issuance-results</x:v>
      </x:c>
    </x:row>
    <x:row r="28" ht="45" customHeight="1">
      <x:c r="A28" s="182" t="str">
        <x:v>[DCF-5]</x:v>
      </x:c>
      <x:c r="B28" s="134" t="str">
        <x:v>Aswath Damodaran — Equity Risk Premium</x:v>
      </x:c>
      <x:c r="C28" s="134" t="str">
        <x:v>1 July 2026</x:v>
      </x:c>
      <x:c r="D28" s="134" t="str">
        <x:v>Mature-market implied equity risk premium 4.18%. https://pages.stern.nyu.edu/~adamodar/New_Home_Page/home.htm</x:v>
      </x:c>
    </x:row>
    <x:row r="29" ht="45" customHeight="1">
      <x:c r="A29" s="182" t="str">
        <x:v>[DCF-6]</x:v>
      </x:c>
      <x:c r="B29" s="134" t="str">
        <x:v>Aswath Damodaran — Europe industry betas</x:v>
      </x:c>
      <x:c r="C29" s="134" t="str">
        <x:v>Current 2026 dataset</x:v>
      </x:c>
      <x:c r="D29" s="134" t="str">
        <x:v>Healthcare Products unlevered beta 0.88. https://pages.stern.nyu.edu/~adamodar/New_Home_Page/datafile/betas1.htm</x:v>
      </x:c>
    </x:row>
    <x:row r="30" ht="45" customHeight="1">
      <x:c r="A30" s="182" t="str">
        <x:v>DCF methodology</x:v>
      </x:c>
      <x:c r="B30" s="134" t="str">
        <x:v>Independent portfolio estimate</x:v>
      </x:c>
      <x:c r="C30" s="134" t="str">
        <x:v>19 August 2026</x:v>
      </x:c>
      <x:c r="D30" s="134" t="str">
        <x:v>Base terminal growth 2.5%. WACC is formula-driven from market capitalisation, debt, CAPM inputs and an estimated pre-tax cost of debt based on annualised H1 interest expense.</x:v>
      </x:c>
    </x:row>
  </x:sheetData>
  <x:mergeCells>
    <x:mergeCell ref="A16:D16"/>
    <x:mergeCell ref="A11:D11"/>
    <x:mergeCell ref="A12:D12"/>
    <x:mergeCell ref="A13:D13"/>
    <x:mergeCell ref="A14:D14"/>
    <x:mergeCell ref="A15:D1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48" hidden="0" customWidth="1"/>
    <x:col min="9" max="9" width="42" hidden="0" customWidth="1"/>
  </x:cols>
  <x:sheetData>
    <x:row r="1">
      <x:c r="A1" s="120" t="str">
        <x:v>bioMérieux — Five-Year Forecast Assumptions</x:v>
      </x:c>
    </x:row>
    <x:row r="2">
      <x:c r="A2" s="122" t="str">
        <x:v>Base case | In € millions unless otherwise stated | Updated for H1 2026 results | 19 August 2026</x:v>
      </x:c>
    </x:row>
    <x:row r="4" ht="22" customHeight="1">
      <x:c r="A4" s="130" t="str">
        <x:v>Latest company guidance / reference point</x:v>
      </x:c>
      <x:c r="B4" s="130" t="str">
        <x:v>2025A</x:v>
      </x:c>
      <x:c r="C4" s="130" t="str">
        <x:v>2026E</x:v>
      </x:c>
      <x:c r="D4" s="130" t="str">
        <x:v>2027E</x:v>
      </x:c>
      <x:c r="E4" s="130" t="str">
        <x:v>2028E</x:v>
      </x:c>
      <x:c r="F4" s="130" t="str">
        <x:v>2029E</x:v>
      </x:c>
      <x:c r="G4" s="130" t="str">
        <x:v>2030E</x:v>
      </x:c>
      <x:c r="H4" s="130" t="str">
        <x:v>Rationale</x:v>
      </x:c>
      <x:c r="I4" s="130" t="str">
        <x:v>Source</x:v>
      </x:c>
    </x:row>
    <x:row r="5" ht="34" customHeight="1">
      <x:c r="A5" s="132" t="str">
        <x:v>Organic sales growth guidance</x:v>
      </x:c>
      <x:c r="B5" s="33"/>
      <x:c r="C5" s="33" t="str">
        <x:v>3%–5%</x:v>
      </x:c>
      <x:c r="D5" s="33" t="str">
        <x:v>3%–6%</x:v>
      </x:c>
      <x:c r="E5" s="33" t="str">
        <x:v>3%–6%</x:v>
      </x:c>
      <x:c r="F5" s="33"/>
      <x:c r="G5" s="33"/>
      <x:c r="H5" s="134" t="str">
        <x:v>2026 guidance confirmed after Q2 organic sales growth accelerated to +5%. 2027–2028 ambitions were reset to +3% to +6% annual organic growth.</x:v>
      </x:c>
      <x:c r="I5" s="134" t="str">
        <x:v>bioMérieux H1 2026 Results Presentation, pp. 16, 18, 33</x:v>
      </x:c>
    </x:row>
    <x:row r="6" ht="34" customHeight="1">
      <x:c r="A6" s="132" t="str">
        <x:v>Organic CEBIT growth guidance</x:v>
      </x:c>
      <x:c r="B6" s="33"/>
      <x:c r="C6" s="33" t="str">
        <x:v>0%–10%</x:v>
      </x:c>
      <x:c r="D6" s="33" t="str">
        <x:v>&gt; organic sales growth</x:v>
      </x:c>
      <x:c r="E6" s="33" t="str">
        <x:v>&gt; organic sales growth</x:v>
      </x:c>
      <x:c r="F6" s="33"/>
      <x:c r="G6" s="33"/>
      <x:c r="H6" s="134" t="str">
        <x:v>2026 guidance remains +0% to +10% organic. For 2027 and 2028, management expects organic CEBIT growth to exceed organic sales growth.</x:v>
      </x:c>
      <x:c r="I6" s="134" t="str">
        <x:v>bioMérieux H1 2026 Results Presentation, pp. 16, 18, 27, 33</x:v>
      </x:c>
    </x:row>
    <x:row r="7" ht="34" customHeight="1">
      <x:c r="A7" s="132" t="str">
        <x:v>CEBIT currency headwind</x:v>
      </x:c>
      <x:c r="B7" s="33"/>
      <x:c r="C7" s="33" t="str">
        <x:v>€40m–€50m</x:v>
      </x:c>
      <x:c r="D7" s="33"/>
      <x:c r="E7" s="33"/>
      <x:c r="F7" s="33"/>
      <x:c r="G7" s="33"/>
      <x:c r="H7" s="134" t="str">
        <x:v>Full-year 2026 CEBIT currency headwind guidance improved from €50m–€60m; base case uses the €45m midpoint.</x:v>
      </x:c>
      <x:c r="I7" s="134" t="str">
        <x:v>bioMérieux H1 2026 Results Presentation, pp. 12, 16, 33</x:v>
      </x:c>
    </x:row>
    <x:row r="8" ht="34" customHeight="1">
      <x:c r="A8" s="132" t="str">
        <x:v>2027–2028 financial ambition</x:v>
      </x:c>
      <x:c r="B8" s="33"/>
      <x:c r="C8" s="33"/>
      <x:c r="D8" s="33" t="str">
        <x:v>3%–6% sales; CEBIT &gt; sales</x:v>
      </x:c>
      <x:c r="E8" s="33" t="str">
        <x:v>3%–6% sales; CEBIT &gt; sales</x:v>
      </x:c>
      <x:c r="F8" s="33"/>
      <x:c r="G8" s="33"/>
      <x:c r="H8" s="134" t="str">
        <x:v>The previous &gt;7% 2024–2028 sales CAGR / 20% CEBIT-margin ambition is no longer used as a company target.</x:v>
      </x:c>
      <x:c r="I8" s="134" t="str">
        <x:v>bioMérieux H1 2026 Results Presentation, pp. 18, 20, 33</x:v>
      </x:c>
    </x:row>
    <x:row r="10" ht="21" customHeight="1">
      <x:c r="A10" s="138" t="str">
        <x:v>Revenue growth assumptions</x:v>
      </x:c>
      <x:c r="B10" s="138"/>
      <x:c r="C10" s="138"/>
      <x:c r="D10" s="138"/>
      <x:c r="E10" s="138"/>
      <x:c r="F10" s="138"/>
      <x:c r="G10" s="138"/>
      <x:c r="H10" s="138"/>
      <x:c r="I10" s="138"/>
    </x:row>
    <x:row r="11" ht="22" customHeight="1">
      <x:c r="A11" s="130" t="str">
        <x:v>Driver</x:v>
      </x:c>
      <x:c r="B11" s="130" t="str">
        <x:v>2025A</x:v>
      </x:c>
      <x:c r="C11" s="130" t="str">
        <x:v>2026E</x:v>
      </x:c>
      <x:c r="D11" s="130" t="str">
        <x:v>2027E</x:v>
      </x:c>
      <x:c r="E11" s="130" t="str">
        <x:v>2028E</x:v>
      </x:c>
      <x:c r="F11" s="130" t="str">
        <x:v>2029E</x:v>
      </x:c>
      <x:c r="G11" s="130" t="str">
        <x:v>2030E</x:v>
      </x:c>
      <x:c r="H11" s="130" t="str">
        <x:v>Base-case rationale</x:v>
      </x:c>
      <x:c r="I11" s="130" t="str">
        <x:v>Primary source</x:v>
      </x:c>
    </x:row>
    <x:row r="12" ht="44" customHeight="1">
      <x:c r="A12" s="140" t="str">
        <x:v>Molecular biology growth</x:v>
      </x:c>
      <x:c r="B12" s="154" t="n">
        <x:f>'Revenue Breakdown'!D7</x:f>
        <x:v>1733</x:v>
      </x:c>
      <x:c r="C12" s="144" t="n">
        <x:v>0.045</x:v>
      </x:c>
      <x:c r="D12" s="144" t="n">
        <x:v>0.065</x:v>
      </x:c>
      <x:c r="E12" s="144" t="n">
        <x:v>0.065</x:v>
      </x:c>
      <x:c r="F12" s="144" t="n">
        <x:v>0.06</x:v>
      </x:c>
      <x:c r="G12" s="144" t="n">
        <x:v>0.055</x:v>
      </x:c>
      <x:c r="H12" s="134" t="str">
        <x:v>Aggregate molecular forecast. 2026 reflects BIOFIRE non-RP growth, SPOTFIRE expansion and respiratory-panel weakness; 2027–2028 reflects strong SPOTFIRE growth offset by ~-5% respiratory-panel ambition.</x:v>
      </x:c>
      <x:c r="I12" s="134" t="str">
        <x:v>H1 2026 presentation pp. 16, 20–22, 25; author aggregation</x:v>
      </x:c>
    </x:row>
    <x:row r="13" ht="44" customHeight="1">
      <x:c r="A13" s="140" t="str">
        <x:v>Microbiology growth</x:v>
      </x:c>
      <x:c r="B13" s="154" t="n">
        <x:f>'Revenue Breakdown'!D11</x:f>
        <x:v>1339</x:v>
      </x:c>
      <x:c r="C13" s="144" t="n">
        <x:v>0.04</x:v>
      </x:c>
      <x:c r="D13" s="144" t="n">
        <x:v>0.04</x:v>
      </x:c>
      <x:c r="E13" s="144" t="n">
        <x:v>0.04</x:v>
      </x:c>
      <x:c r="F13" s="144" t="n">
        <x:v>0.045</x:v>
      </x:c>
      <x:c r="G13" s="144" t="n">
        <x:v>0.04</x:v>
      </x:c>
      <x:c r="H13" s="134" t="str">
        <x:v>Set at the midpoint of 2026 and 2027–2028 company ranges, supported by blood-culture momentum and instrument launches.</x:v>
      </x:c>
      <x:c r="I13" s="134" t="str">
        <x:v>H1 2026 presentation pp. 10, 16, 20, 23</x:v>
      </x:c>
    </x:row>
    <x:row r="14" ht="44" customHeight="1">
      <x:c r="A14" s="140" t="str">
        <x:v>Immunoassays growth</x:v>
      </x:c>
      <x:c r="B14" s="154" t="n">
        <x:f>'Revenue Breakdown'!D12</x:f>
        <x:v>308.3</x:v>
      </x:c>
      <x:c r="C14" s="144" t="n">
        <x:v>-0.025</x:v>
      </x:c>
      <x:c r="D14" s="144" t="n">
        <x:v>-0.025</x:v>
      </x:c>
      <x:c r="E14" s="144" t="n">
        <x:v>-0.015</x:v>
      </x:c>
      <x:c r="F14" s="144" t="n">
        <x:v>0</x:v>
      </x:c>
      <x:c r="G14" s="144" t="n">
        <x:v>0.01</x:v>
      </x:c>
      <x:c r="H14" s="134" t="str">
        <x:v>2026 and 2027 base cases use the midpoint of the -5% to 0% company range; gradual improvement thereafter as VIDAS KUBE and SPINCHIP contribute.</x:v>
      </x:c>
      <x:c r="I14" s="134" t="str">
        <x:v>H1 2026 presentation pp. 16, 20, 25</x:v>
      </x:c>
    </x:row>
    <x:row r="15" ht="44" customHeight="1">
      <x:c r="A15" s="140" t="str">
        <x:v>Other clinical growth</x:v>
      </x:c>
      <x:c r="B15" s="154" t="n">
        <x:f>'Revenue Breakdown'!D13</x:f>
        <x:v>50.6</x:v>
      </x:c>
      <x:c r="C15" s="144" t="n">
        <x:v>0</x:v>
      </x:c>
      <x:c r="D15" s="144" t="n">
        <x:v>0.02</x:v>
      </x:c>
      <x:c r="E15" s="144" t="n">
        <x:v>0.02</x:v>
      </x:c>
      <x:c r="F15" s="144" t="n">
        <x:v>0.025</x:v>
      </x:c>
      <x:c r="G15" s="144" t="n">
        <x:v>0.025</x:v>
      </x:c>
      <x:c r="H15" s="134" t="str">
        <x:v>Small residual category kept conservative and near mature-market growth.</x:v>
      </x:c>
      <x:c r="I15" s="134" t="str">
        <x:v>Author estimate</x:v>
      </x:c>
    </x:row>
    <x:row r="16" ht="44" customHeight="1">
      <x:c r="A16" s="140" t="str">
        <x:v>Industrial applications growth</x:v>
      </x:c>
      <x:c r="B16" s="154" t="n">
        <x:f>'Revenue Breakdown'!D14</x:f>
        <x:v>638.9</x:v>
      </x:c>
      <x:c r="C16" s="144" t="n">
        <x:v>0.08</x:v>
      </x:c>
      <x:c r="D16" s="144" t="n">
        <x:v>0.08</x:v>
      </x:c>
      <x:c r="E16" s="144" t="n">
        <x:v>0.08</x:v>
      </x:c>
      <x:c r="F16" s="144" t="n">
        <x:v>0.07</x:v>
      </x:c>
      <x:c r="G16" s="144" t="n">
        <x:v>0.065</x:v>
      </x:c>
      <x:c r="H16" s="134" t="str">
        <x:v>Set at the midpoint of the +7% to +9% company ambition through 2028, then gradually normalised.</x:v>
      </x:c>
      <x:c r="I16" s="134" t="str">
        <x:v>H1 2026 presentation pp. 16, 20, 24</x:v>
      </x:c>
    </x:row>
    <x:row r="17" ht="38" customHeight="1">
      <x:c r="A17" t="str">
        <x:v>Group revenue FX impact</x:v>
      </x:c>
      <x:c r="B17"/>
      <x:c r="C17" s="144" t="n">
        <x:v>-0.03</x:v>
      </x:c>
      <x:c r="D17" s="144" t="n">
        <x:v>0</x:v>
      </x:c>
      <x:c r="E17" s="144" t="n">
        <x:v>0</x:v>
      </x:c>
      <x:c r="F17" s="144" t="n">
        <x:v>0</x:v>
      </x:c>
      <x:c r="G17" s="144" t="n">
        <x:v>0</x:v>
      </x:c>
      <x:c r="H17" s="134" t="str">
        <x:v>2026 reported-revenue translation assumption. H1 reported sales fell 3.9% while organic sales rose 0.2%, showing a material currency drag. No full-year revenue FX guidance is provided, so -3% is an author estimate; no FX is forecast thereafter.</x:v>
      </x:c>
      <x:c r="I17" s="134" t="str">
        <x:v>H1 2026 presentation pp. 5, 12; author estimate</x:v>
      </x:c>
    </x:row>
    <x:row r="19" ht="21" customHeight="1">
      <x:c r="A19" s="138" t="str">
        <x:v>Profitability assumptions</x:v>
      </x:c>
      <x:c r="B19" s="138"/>
      <x:c r="C19" s="138"/>
      <x:c r="D19" s="138"/>
      <x:c r="E19" s="138"/>
      <x:c r="F19" s="138"/>
      <x:c r="G19" s="138"/>
      <x:c r="H19" s="138"/>
      <x:c r="I19" s="138"/>
    </x:row>
    <x:row r="20" ht="22" customHeight="1">
      <x:c r="A20" s="130" t="str">
        <x:v>Driver</x:v>
      </x:c>
      <x:c r="B20" s="130" t="str">
        <x:v>2025A</x:v>
      </x:c>
      <x:c r="C20" s="130" t="str">
        <x:v>2026E</x:v>
      </x:c>
      <x:c r="D20" s="130" t="str">
        <x:v>2027E</x:v>
      </x:c>
      <x:c r="E20" s="130" t="str">
        <x:v>2028E</x:v>
      </x:c>
      <x:c r="F20" s="130" t="str">
        <x:v>2029E</x:v>
      </x:c>
      <x:c r="G20" s="130" t="str">
        <x:v>2030E</x:v>
      </x:c>
      <x:c r="H20" s="130" t="str">
        <x:v>Base-case rationale</x:v>
      </x:c>
      <x:c r="I20" s="130" t="str">
        <x:v>Primary source</x:v>
      </x:c>
    </x:row>
    <x:row r="21" ht="40" customHeight="1">
      <x:c r="A21" t="str">
        <x:v>Gross margin</x:v>
      </x:c>
      <x:c r="B21" s="152" t="n">
        <x:f>'Income Statement'!D8</x:f>
        <x:v>0.5673006044523072</x:v>
      </x:c>
      <x:c r="C21" s="144" t="n">
        <x:v>0.566</x:v>
      </x:c>
      <x:c r="D21" s="144" t="n">
        <x:v>0.568</x:v>
      </x:c>
      <x:c r="E21" s="144" t="n">
        <x:v>0.57</x:v>
      </x:c>
      <x:c r="F21" s="144" t="n">
        <x:v>0.572</x:v>
      </x:c>
      <x:c r="G21" s="144" t="n">
        <x:v>0.574</x:v>
      </x:c>
      <x:c r="H21" s="134" t="str">
        <x:v>2026 remains below 2025 as H1 gross margin was 55.9%; gradual recovery assumes mix normalisation, automation and procurement savings.</x:v>
      </x:c>
      <x:c r="I21" s="134" t="str">
        <x:v>H1 2026 presentation pp. 6, 12, 27; author estimate</x:v>
      </x:c>
    </x:row>
    <x:row r="22" ht="40" customHeight="1">
      <x:c r="A22" t="str">
        <x:v>Other operating income / sales</x:v>
      </x:c>
      <x:c r="B22" s="152" t="n">
        <x:f>'Income Statement'!D10/'Income Statement'!D5</x:f>
        <x:v>0.009287925696594427</x:v>
      </x:c>
      <x:c r="C22" s="144" t="n">
        <x:v>0.009</x:v>
      </x:c>
      <x:c r="D22" s="144" t="n">
        <x:v>0.009</x:v>
      </x:c>
      <x:c r="E22" s="144" t="n">
        <x:v>0.009</x:v>
      </x:c>
      <x:c r="F22" s="144" t="n">
        <x:v>0.009</x:v>
      </x:c>
      <x:c r="G22" s="144" t="n">
        <x:v>0.009</x:v>
      </x:c>
      <x:c r="H22" s="134" t="str">
        <x:v>Held close to the historical range.</x:v>
      </x:c>
      <x:c r="I22" s="134" t="str">
        <x:v>Historical financials; author estimate</x:v>
      </x:c>
    </x:row>
    <x:row r="23" ht="40" customHeight="1">
      <x:c r="A23" t="str">
        <x:v>Selling &amp; marketing / sales</x:v>
      </x:c>
      <x:c r="B23" s="152" t="n">
        <x:f>-'Income Statement'!D11/'Income Statement'!D5</x:f>
        <x:v>0.19440758759644208</x:v>
      </x:c>
      <x:c r="C23" s="144" t="n">
        <x:v>0.192</x:v>
      </x:c>
      <x:c r="D23" s="144" t="n">
        <x:v>0.19</x:v>
      </x:c>
      <x:c r="E23" s="144" t="n">
        <x:v>0.189</x:v>
      </x:c>
      <x:c r="F23" s="144" t="n">
        <x:v>0.188</x:v>
      </x:c>
      <x:c r="G23" s="144" t="n">
        <x:v>0.187</x:v>
      </x:c>
      <x:c r="H23" s="134" t="str">
        <x:v>Efficiency measures offset continued commercial investment; H1 2026 combined SG&amp;A was 27.7% of sales.</x:v>
      </x:c>
      <x:c r="I23" s="134" t="str">
        <x:v>H1 2026 presentation pp. 12, 27; author estimate</x:v>
      </x:c>
    </x:row>
    <x:row r="24" ht="40" customHeight="1">
      <x:c r="A24" t="str">
        <x:v>G&amp;A / sales</x:v>
      </x:c>
      <x:c r="B24" s="152" t="n">
        <x:f>-'Income Statement'!D12/'Income Statement'!D5</x:f>
        <x:v>0.07862794240503218</x:v>
      </x:c>
      <x:c r="C24" s="144" t="n">
        <x:v>0.077</x:v>
      </x:c>
      <x:c r="D24" s="144" t="n">
        <x:v>0.076</x:v>
      </x:c>
      <x:c r="E24" s="144" t="n">
        <x:v>0.075</x:v>
      </x:c>
      <x:c r="F24" s="144" t="n">
        <x:v>0.074</x:v>
      </x:c>
      <x:c r="G24" s="144" t="n">
        <x:v>0.073</x:v>
      </x:c>
      <x:c r="H24" s="134" t="str">
        <x:v>Process simplification and operating-model changes support modest leverage.</x:v>
      </x:c>
      <x:c r="I24" s="134" t="str">
        <x:v>H1 2026 presentation pp. 6, 27; author estimate</x:v>
      </x:c>
    </x:row>
    <x:row r="25" ht="40" customHeight="1">
      <x:c r="A25" t="str">
        <x:v>R&amp;D / sales</x:v>
      </x:c>
      <x:c r="B25" s="152" t="n">
        <x:f>-'Income Statement'!D13/'Income Statement'!D5</x:f>
        <x:v>0.12467443117597915</x:v>
      </x:c>
      <x:c r="C25" s="144" t="n">
        <x:v>0.124</x:v>
      </x:c>
      <x:c r="D25" s="144" t="n">
        <x:v>0.124</x:v>
      </x:c>
      <x:c r="E25" s="144" t="n">
        <x:v>0.124</x:v>
      </x:c>
      <x:c r="F25" s="144" t="n">
        <x:v>0.123</x:v>
      </x:c>
      <x:c r="G25" s="144" t="n">
        <x:v>0.122</x:v>
      </x:c>
      <x:c r="H25" s="134" t="str">
        <x:v>Investment remains elevated; H1 2026 R&amp;D was 13.1% of sales and grew 5% like-for-like.</x:v>
      </x:c>
      <x:c r="I25" s="134" t="str">
        <x:v>H1 2026 presentation p. 12; author estimate</x:v>
      </x:c>
    </x:row>
    <x:row r="26" ht="40" customHeight="1">
      <x:c r="A26" t="str">
        <x:v>CEBIT FX impact (€m)</x:v>
      </x:c>
      <x:c r="B26" s="154" t="n">
        <x:f>0</x:f>
        <x:v>0</x:v>
      </x:c>
      <x:c r="C26" s="148" t="n">
        <x:v>-45</x:v>
      </x:c>
      <x:c r="D26" s="148" t="n">
        <x:v>0</x:v>
      </x:c>
      <x:c r="E26" s="148" t="n">
        <x:v>0</x:v>
      </x:c>
      <x:c r="F26" s="148" t="n">
        <x:v>0</x:v>
      </x:c>
      <x:c r="G26" s="148" t="n">
        <x:v>0</x:v>
      </x:c>
      <x:c r="H26" s="134" t="str">
        <x:v>€45m is the midpoint of management's revised €40m–€50m FY2026 CEBIT currency headwind.</x:v>
      </x:c>
      <x:c r="I26" s="134" t="str">
        <x:v>H1 2026 presentation pp. 16, 33</x:v>
      </x:c>
    </x:row>
    <x:row r="28" ht="21" customHeight="1">
      <x:c r="A28" s="138" t="str">
        <x:v>Cash flow and other assumptions</x:v>
      </x:c>
      <x:c r="B28" s="138"/>
      <x:c r="C28" s="138"/>
      <x:c r="D28" s="138"/>
      <x:c r="E28" s="138"/>
      <x:c r="F28" s="138"/>
      <x:c r="G28" s="138"/>
      <x:c r="H28" s="138"/>
      <x:c r="I28" s="138"/>
    </x:row>
    <x:row r="29" ht="22" customHeight="1">
      <x:c r="A29" s="130" t="str">
        <x:v>Driver</x:v>
      </x:c>
      <x:c r="B29" s="130" t="str">
        <x:v>2025A</x:v>
      </x:c>
      <x:c r="C29" s="130" t="str">
        <x:v>2026E</x:v>
      </x:c>
      <x:c r="D29" s="130" t="str">
        <x:v>2027E</x:v>
      </x:c>
      <x:c r="E29" s="130" t="str">
        <x:v>2028E</x:v>
      </x:c>
      <x:c r="F29" s="130" t="str">
        <x:v>2029E</x:v>
      </x:c>
      <x:c r="G29" s="130" t="str">
        <x:v>2030E</x:v>
      </x:c>
      <x:c r="H29" s="130" t="str">
        <x:v>Base-case rationale</x:v>
      </x:c>
      <x:c r="I29" s="130" t="str">
        <x:v>Primary source</x:v>
      </x:c>
    </x:row>
    <x:row r="30" ht="40" customHeight="1">
      <x:c r="A30" t="str">
        <x:v>D&amp;A / sales</x:v>
      </x:c>
      <x:c r="B30" s="152" t="n">
        <x:f>('Income Statement'!D38-'Income Statement'!D16)/'Income Statement'!D5</x:f>
        <x:v>0.056956115779645065</x:v>
      </x:c>
      <x:c r="C30" s="144" t="n">
        <x:v>0.062</x:v>
      </x:c>
      <x:c r="D30" s="144" t="n">
        <x:v>0.06</x:v>
      </x:c>
      <x:c r="E30" s="144" t="n">
        <x:v>0.058</x:v>
      </x:c>
      <x:c r="F30" s="144" t="n">
        <x:v>0.056</x:v>
      </x:c>
      <x:c r="G30" s="144" t="n">
        <x:v>0.055</x:v>
      </x:c>
      <x:c r="H30" s="134" t="str">
        <x:v>H1 EBITDA of €440m versus CEBIT of €313m implies elevated depreciation/amortisation; ratio gradually normalises.</x:v>
      </x:c>
      <x:c r="I30" s="134" t="str">
        <x:v>H1 2026 presentation pp. 12, 14; author estimate</x:v>
      </x:c>
    </x:row>
    <x:row r="31" ht="40" customHeight="1">
      <x:c r="A31" t="str">
        <x:v>Capex / sales</x:v>
      </x:c>
      <x:c r="B31" s="152" t="n">
        <x:f>-'Cash Flow'!D13/'Income Statement'!D5</x:f>
        <x:v>0.0823873409012728</x:v>
      </x:c>
      <x:c r="C31" s="144" t="n">
        <x:v>0.08</x:v>
      </x:c>
      <x:c r="D31" s="144" t="n">
        <x:v>0.085</x:v>
      </x:c>
      <x:c r="E31" s="144" t="n">
        <x:v>0.085</x:v>
      </x:c>
      <x:c r="F31" s="144" t="n">
        <x:v>0.08</x:v>
      </x:c>
      <x:c r="G31" s="144" t="n">
        <x:v>0.075</x:v>
      </x:c>
      <x:c r="H31" s="134" t="str">
        <x:v>2026 set to management guidance of ~8% of sales; 2027–2028 kept elevated for capacity, automation and instrument placements, then normalised.</x:v>
      </x:c>
      <x:c r="I31" s="134" t="str">
        <x:v>H1 2026 presentation pp. 14, 16; author estimate</x:v>
      </x:c>
    </x:row>
    <x:row r="32" ht="40" customHeight="1">
      <x:c r="A32" t="str">
        <x:v>Operating NWC / sales</x:v>
      </x:c>
      <x:c r="B32" s="152" t="n">
        <x:f>('Balance Sheet'!D16+'Balance Sheet'!D17+'Balance Sheet'!D18-'Balance Sheet'!D41-'Balance Sheet'!D42)/'Income Statement'!D5</x:f>
        <x:v>0.27099611774534377</x:v>
      </x:c>
      <x:c r="C32" s="144" t="n">
        <x:v>0.268</x:v>
      </x:c>
      <x:c r="D32" s="144" t="n">
        <x:v>0.265</x:v>
      </x:c>
      <x:c r="E32" s="144" t="n">
        <x:v>0.262</x:v>
      </x:c>
      <x:c r="F32" s="144" t="n">
        <x:v>0.26</x:v>
      </x:c>
      <x:c r="G32" s="144" t="n">
        <x:v>0.258</x:v>
      </x:c>
      <x:c r="H32" s="134" t="str">
        <x:v>H1 showed strong collections and inventory optimisation; year-end NWC is still modelled conservatively with gradual efficiency gains.</x:v>
      </x:c>
      <x:c r="I32" s="134" t="str">
        <x:v>H1 2026 presentation p. 14; author estimate</x:v>
      </x:c>
    </x:row>
    <x:row r="33" ht="40" customHeight="1">
      <x:c r="A33" t="str">
        <x:v>Cash tax rate</x:v>
      </x:c>
      <x:c r="B33" s="152" t="n">
        <x:f>'Ratios'!D13</x:f>
        <x:v>0.24505327245053246</x:v>
      </x:c>
      <x:c r="C33" s="144" t="n">
        <x:v>0.24</x:v>
      </x:c>
      <x:c r="D33" s="144" t="n">
        <x:v>0.245</x:v>
      </x:c>
      <x:c r="E33" s="144" t="n">
        <x:v>0.245</x:v>
      </x:c>
      <x:c r="F33" s="144" t="n">
        <x:v>0.245</x:v>
      </x:c>
      <x:c r="G33" s="144" t="n">
        <x:v>0.245</x:v>
      </x:c>
      <x:c r="H33" s="134" t="str">
        <x:v>2026 reflects the 23.4% H1 effective tax rate with a modest normalisation thereafter.</x:v>
      </x:c>
      <x:c r="I33" s="134" t="str">
        <x:v>H1 2026 presentation p. 13; author estimate</x:v>
      </x:c>
    </x:row>
    <x:row r="34" ht="40" customHeight="1">
      <x:c r="A34" t="str">
        <x:v>Acquired-intangible amortisation (€m)</x:v>
      </x:c>
      <x:c r="B34" s="154" t="n">
        <x:f>-'Income Statement'!D19</x:f>
        <x:v>166.8</x:v>
      </x:c>
      <x:c r="C34" s="148" t="n">
        <x:v>30</x:v>
      </x:c>
      <x:c r="D34" s="148" t="n">
        <x:v>30</x:v>
      </x:c>
      <x:c r="E34" s="148" t="n">
        <x:v>30</x:v>
      </x:c>
      <x:c r="F34" s="148" t="n">
        <x:v>30</x:v>
      </x:c>
      <x:c r="G34" s="148" t="n">
        <x:v>30</x:v>
      </x:c>
      <x:c r="H34" s="134" t="str">
        <x:v>H1 2026 acquisition-related amortisation was only €14m versus €163m in H1 2025, which included the VITEK REVEAL impairment; annualised base case is normalised to €30m.</x:v>
      </x:c>
      <x:c r="I34" s="134" t="str">
        <x:v>H1 2026 presentation p. 13; author estimate</x:v>
      </x:c>
    </x:row>
    <x:row r="35" ht="40" customHeight="1">
      <x:c r="A35" t="str">
        <x:v>Net financial result (€m)</x:v>
      </x:c>
      <x:c r="B35" s="154" t="n">
        <x:f>'Income Statement'!D24+'Income Statement'!D25</x:f>
        <x:v>4.299999999999999</x:v>
      </x:c>
      <x:c r="C35" s="148" t="n">
        <x:v>-5</x:v>
      </x:c>
      <x:c r="D35" s="148" t="n">
        <x:v>0</x:v>
      </x:c>
      <x:c r="E35" s="148" t="n">
        <x:v>5</x:v>
      </x:c>
      <x:c r="F35" s="148" t="n">
        <x:v>10</x:v>
      </x:c>
      <x:c r="G35" s="148" t="n">
        <x:v>15</x:v>
      </x:c>
      <x:c r="H35" s="134" t="str">
        <x:v>H1 2026 recorded €5m net financial expense despite a positive net-cash position; base case starts at -€5m and improves as cash builds.</x:v>
      </x:c>
      <x:c r="I35" s="134" t="str">
        <x:v>H1 2026 presentation pp. 13–14; author estimate</x:v>
      </x:c>
    </x:row>
    <x:row r="36" ht="40" customHeight="1">
      <x:c r="A36" t="str">
        <x:v>Minority interests (€m)</x:v>
      </x:c>
      <x:c r="B36" s="154" t="n">
        <x:f>-'Income Statement'!D29</x:f>
        <x:v>0.6</x:v>
      </x:c>
      <x:c r="C36" s="148" t="n">
        <x:v>1</x:v>
      </x:c>
      <x:c r="D36" s="148" t="n">
        <x:v>1</x:v>
      </x:c>
      <x:c r="E36" s="148" t="n">
        <x:v>1</x:v>
      </x:c>
      <x:c r="F36" s="148" t="n">
        <x:v>1</x:v>
      </x:c>
      <x:c r="G36" s="148" t="n">
        <x:v>1</x:v>
      </x:c>
      <x:c r="H36" s="134" t="str">
        <x:v>Kept immaterial relative to group earnings.</x:v>
      </x:c>
      <x:c r="I36" s="134" t="str">
        <x:v>Author estimate</x:v>
      </x:c>
    </x:row>
    <x:row r="38" ht="32" customHeight="1">
      <x:c r="A38" s="150" t="str">
        <x:v>Forecast status</x:v>
      </x:c>
      <x:c r="B38" s="33" t="str">
        <x:v>Base case</x:v>
      </x:c>
      <x:c r="C38" s="33"/>
      <x:c r="D38" s="33"/>
      <x:c r="E38" s="33"/>
      <x:c r="F38" s="33"/>
      <x:c r="G38" s="33"/>
      <x:c r="H38" s="134" t="str">
        <x:v>H1 2026 results have been incorporated. Next major scheduled trading update is Q3 2026.</x:v>
      </x:c>
      <x:c r="I38" s="134" t="str">
        <x:v>bioMérieux H1 2026 Results Presentation, 28 July 2026</x:v>
      </x:c>
    </x:row>
    <x:row r="39" ht="32" customHeight="1">
      <x:c r="A39" s="150" t="str">
        <x:v>Modelling convention</x:v>
      </x:c>
      <x:c r="B39" s="33" t="str">
        <x:v>Blue = inputs</x:v>
      </x:c>
      <x:c r="C39" s="33" t="str">
        <x:v>Black = formulas</x:v>
      </x:c>
      <x:c r="D39" s="33" t="str">
        <x:v>Green = cross-sheet links</x:v>
      </x:c>
      <x:c r="E39" s="33"/>
      <x:c r="F39" s="33"/>
      <x:c r="G39" s="33"/>
      <x:c r="H39" s="134" t="str">
        <x:v>Forecasts are independent estimates; company ranges are used as anchors rather than copied as point forecasts.</x:v>
      </x:c>
      <x:c r="I39" s="134"/>
    </x:row>
    <x:row r="40" ht="32" customHeight="1">
      <x:c r="A40" s="150" t="str">
        <x:v>Disclaimer</x:v>
      </x:c>
      <x:c r="B40" s="33"/>
      <x:c r="C40" s="33"/>
      <x:c r="D40" s="33"/>
      <x:c r="E40" s="33"/>
      <x:c r="F40" s="33"/>
      <x:c r="G40" s="33"/>
      <x:c r="H40" s="134" t="str">
        <x:v>For educational and portfolio purposes only; not investment advice.</x:v>
      </x:c>
      <x:c r="I40" s="134"/>
    </x:row>
    <x:row r="42">
      <x:c r="A42" s="204" t="str">
        <x:v>H1 2026 actual snapshot</x:v>
      </x:c>
      <x:c r="B42" s="204"/>
      <x:c r="C42" s="204"/>
      <x:c r="D42" s="204"/>
      <x:c r="E42" s="204"/>
      <x:c r="F42" s="204"/>
      <x:c r="G42" s="204"/>
      <x:c r="H42" s="204"/>
      <x:c r="I42" s="204"/>
    </x:row>
    <x:row r="43">
      <x:c r="A43" s="204" t="str">
        <x:v>Metric</x:v>
      </x:c>
      <x:c r="B43" s="204" t="str">
        <x:v>H1 2026</x:v>
      </x:c>
      <x:c r="C43" s="204" t="str">
        <x:v>H1 2025</x:v>
      </x:c>
      <x:c r="D43" s="204" t="str">
        <x:v>Change / margin</x:v>
      </x:c>
      <x:c r="E43" s="204"/>
      <x:c r="F43" s="204"/>
      <x:c r="G43" s="204"/>
      <x:c r="H43" s="204" t="str">
        <x:v>Interpretation</x:v>
      </x:c>
      <x:c r="I43" s="204" t="str">
        <x:v>Source</x:v>
      </x:c>
    </x:row>
    <x:row r="44">
      <x:c r="A44" t="str">
        <x:v>Sales (€m)</x:v>
      </x:c>
      <x:c r="B44" s="146" t="n">
        <x:v>1965</x:v>
      </x:c>
      <x:c r="C44" s="146" t="n">
        <x:v>2044</x:v>
      </x:c>
      <x:c r="D44" s="142" t="n">
        <x:v>0.002</x:v>
      </x:c>
      <x:c r="E44"/>
      <x:c r="F44"/>
      <x:c r="G44"/>
      <x:c r="H44" s="134" t="str">
        <x:v>Organic sales were broadly flat in H1, but Q2 accelerated to +5%.</x:v>
      </x:c>
      <x:c r="I44" s="134" t="str">
        <x:v>H1 2026 presentation pp. 5, 12</x:v>
      </x:c>
    </x:row>
    <x:row r="45">
      <x:c r="A45" t="str">
        <x:v>CEBIT (€m)</x:v>
      </x:c>
      <x:c r="B45" s="146" t="n">
        <x:v>313</x:v>
      </x:c>
      <x:c r="C45" s="146" t="n">
        <x:v>372</x:v>
      </x:c>
      <x:c r="D45" s="142" t="n">
        <x:v>0.159</x:v>
      </x:c>
      <x:c r="E45"/>
      <x:c r="F45"/>
      <x:c r="G45"/>
      <x:c r="H45" s="134" t="str">
        <x:v>15.9% reported margin; H1 included a €35m negative currency effect.</x:v>
      </x:c>
      <x:c r="I45" s="134" t="str">
        <x:v>H1 2026 presentation pp. 5, 12</x:v>
      </x:c>
    </x:row>
    <x:row r="46">
      <x:c r="A46" t="str">
        <x:v>Free cash flow (€m)</x:v>
      </x:c>
      <x:c r="B46" s="146" t="n">
        <x:v>299</x:v>
      </x:c>
      <x:c r="C46" s="146" t="n">
        <x:v>170</x:v>
      </x:c>
      <x:c r="D46" s="142" t="n">
        <x:v>0.759</x:v>
      </x:c>
      <x:c r="E46"/>
      <x:c r="F46"/>
      <x:c r="G46"/>
      <x:c r="H46" s="134" t="str">
        <x:v>Cash generation improved sharply due to working-capital and tax benefits.</x:v>
      </x:c>
      <x:c r="I46" s="134" t="str">
        <x:v>H1 2026 presentation p. 14</x:v>
      </x:c>
    </x:row>
    <x:row r="47">
      <x:c r="A47" t="str">
        <x:v>Net cash (€m)</x:v>
      </x:c>
      <x:c r="B47" s="146" t="n">
        <x:v>236</x:v>
      </x:c>
      <x:c r="C47" s="146" t="n">
        <x:v>-126</x:v>
      </x:c>
      <x:c r="D47"/>
      <x:c r="E47"/>
      <x:c r="F47"/>
      <x:c r="G47"/>
      <x:c r="H47" s="134" t="str">
        <x:v>Balance sheet moved to a positive net-cash position.</x:v>
      </x:c>
      <x:c r="I47" s="134" t="str">
        <x:v>H1 2026 presentation p. 14</x:v>
      </x:c>
    </x:row>
  </x:sheetData>
  <x:mergeCells>
    <x:mergeCell ref="A10:I10"/>
    <x:mergeCell ref="A19:I19"/>
    <x:mergeCell ref="A28:I28"/>
    <x:mergeCell ref="A42:I4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20" t="str">
        <x:v>bioMérieux — Revenue Forecast</x:v>
      </x:c>
    </x:row>
    <x:row r="2">
      <x:c r="A2" s="122" t="str">
        <x:v>In € millions, year ended 31 December | Base case</x:v>
      </x:c>
    </x:row>
    <x:row r="4" ht="22" customHeight="1">
      <x:c r="A4" s="130"/>
      <x:c r="B4" s="130" t="str">
        <x:v>FY2025A</x:v>
      </x:c>
      <x:c r="C4" s="130" t="str">
        <x:v>FY2026E</x:v>
      </x:c>
      <x:c r="D4" s="130" t="str">
        <x:v>FY2027E</x:v>
      </x:c>
      <x:c r="E4" s="130" t="str">
        <x:v>FY2028E</x:v>
      </x:c>
      <x:c r="F4" s="130" t="str">
        <x:v>FY2029E</x:v>
      </x:c>
      <x:c r="G4" s="130" t="str">
        <x:v>FY2030E</x:v>
      </x:c>
    </x:row>
    <x:row r="5">
      <x:c r="A5" t="str">
        <x:v>Molecular biology</x:v>
      </x:c>
      <x:c r="B5" s="154" t="n">
        <x:f>'Revenue Breakdown'!D7</x:f>
        <x:v>1733</x:v>
      </x:c>
      <x:c r="C5" s="146" t="n">
        <x:f>B5*(1+C6)*(1+'Forecast Assumptions'!C17)</x:f>
        <x:v>1756.6554499999997</x:v>
      </x:c>
      <x:c r="D5" s="146" t="n">
        <x:f>C5*(1+D6)*(1+'Forecast Assumptions'!D17)</x:f>
        <x:v>1870.8380542499997</x:v>
      </x:c>
      <x:c r="E5" s="146" t="n">
        <x:f>D5*(1+E6)*(1+'Forecast Assumptions'!E17)</x:f>
        <x:v>1992.4425277762496</x:v>
      </x:c>
      <x:c r="F5" s="146" t="n">
        <x:f>E5*(1+F6)*(1+'Forecast Assumptions'!F17)</x:f>
        <x:v>2111.9890794428247</x:v>
      </x:c>
      <x:c r="G5" s="146" t="n">
        <x:f>F5*(1+G6)*(1+'Forecast Assumptions'!G17)</x:f>
        <x:v>2228.1484788121797</x:v>
      </x:c>
    </x:row>
    <x:row r="6">
      <x:c r="A6" t="str">
        <x:v>% organic growth</x:v>
      </x:c>
      <x:c r="B6" s="152"/>
      <x:c r="C6" s="152" t="n">
        <x:f>'Forecast Assumptions'!C12</x:f>
        <x:v>0.045</x:v>
      </x:c>
      <x:c r="D6" s="152" t="n">
        <x:f>'Forecast Assumptions'!D12</x:f>
        <x:v>0.065</x:v>
      </x:c>
      <x:c r="E6" s="152" t="n">
        <x:f>'Forecast Assumptions'!E12</x:f>
        <x:v>0.065</x:v>
      </x:c>
      <x:c r="F6" s="152" t="n">
        <x:f>'Forecast Assumptions'!F12</x:f>
        <x:v>0.06</x:v>
      </x:c>
      <x:c r="G6" s="152" t="n">
        <x:f>'Forecast Assumptions'!G12</x:f>
        <x:v>0.055</x:v>
      </x:c>
    </x:row>
    <x:row r="7">
      <x:c r="A7" t="str">
        <x:v>Microbiology</x:v>
      </x:c>
      <x:c r="B7" s="154" t="n">
        <x:f>'Revenue Breakdown'!D11</x:f>
        <x:v>1339</x:v>
      </x:c>
      <x:c r="C7" s="154" t="n">
        <x:f>B7*(1+C8)*(1+'Forecast Assumptions'!C17)</x:f>
        <x:v>1350.7831999999999</x:v>
      </x:c>
      <x:c r="D7" s="154" t="n">
        <x:f>C7*(1+D8)*(1+'Forecast Assumptions'!D17)</x:f>
        <x:v>1404.8145279999999</x:v>
      </x:c>
      <x:c r="E7" s="154" t="n">
        <x:f>D7*(1+E8)*(1+'Forecast Assumptions'!E17)</x:f>
        <x:v>1461.00710912</x:v>
      </x:c>
      <x:c r="F7" s="154" t="n">
        <x:f>E7*(1+F8)*(1+'Forecast Assumptions'!F17)</x:f>
        <x:v>1526.7524290304</x:v>
      </x:c>
      <x:c r="G7" s="154" t="n">
        <x:f>F7*(1+G8)*(1+'Forecast Assumptions'!G17)</x:f>
        <x:v>1587.8225261916161</x:v>
      </x:c>
    </x:row>
    <x:row r="8">
      <x:c r="A8" t="str">
        <x:v>% organic growth</x:v>
      </x:c>
      <x:c r="B8" s="152"/>
      <x:c r="C8" s="152" t="n">
        <x:f>'Forecast Assumptions'!C13</x:f>
        <x:v>0.04</x:v>
      </x:c>
      <x:c r="D8" s="152" t="n">
        <x:f>'Forecast Assumptions'!D13</x:f>
        <x:v>0.04</x:v>
      </x:c>
      <x:c r="E8" s="152" t="n">
        <x:f>'Forecast Assumptions'!E13</x:f>
        <x:v>0.04</x:v>
      </x:c>
      <x:c r="F8" s="152" t="n">
        <x:f>'Forecast Assumptions'!F13</x:f>
        <x:v>0.045</x:v>
      </x:c>
      <x:c r="G8" s="152" t="n">
        <x:f>'Forecast Assumptions'!G13</x:f>
        <x:v>0.04</x:v>
      </x:c>
    </x:row>
    <x:row r="9">
      <x:c r="A9" t="str">
        <x:v>Immunoassays</x:v>
      </x:c>
      <x:c r="B9" s="154" t="n">
        <x:f>'Revenue Breakdown'!D12</x:f>
        <x:v>308.3</x:v>
      </x:c>
      <x:c r="C9" s="154" t="n">
        <x:f>B9*(1+C10)*(1+'Forecast Assumptions'!C17)</x:f>
        <x:v>291.574725</x:v>
      </x:c>
      <x:c r="D9" s="154" t="n">
        <x:f>C9*(1+D10)*(1+'Forecast Assumptions'!D17)</x:f>
        <x:v>284.285356875</x:v>
      </x:c>
      <x:c r="E9" s="154" t="n">
        <x:f>D9*(1+E10)*(1+'Forecast Assumptions'!E17)</x:f>
        <x:v>280.021076521875</x:v>
      </x:c>
      <x:c r="F9" s="154" t="n">
        <x:f>E9*(1+F10)*(1+'Forecast Assumptions'!F17)</x:f>
        <x:v>280.021076521875</x:v>
      </x:c>
      <x:c r="G9" s="154" t="n">
        <x:f>F9*(1+G10)*(1+'Forecast Assumptions'!G17)</x:f>
        <x:v>282.82128728709375</x:v>
      </x:c>
    </x:row>
    <x:row r="10">
      <x:c r="A10" t="str">
        <x:v>% organic growth</x:v>
      </x:c>
      <x:c r="B10" s="152"/>
      <x:c r="C10" s="152" t="n">
        <x:f>'Forecast Assumptions'!C14</x:f>
        <x:v>-0.025</x:v>
      </x:c>
      <x:c r="D10" s="152" t="n">
        <x:f>'Forecast Assumptions'!D14</x:f>
        <x:v>-0.025</x:v>
      </x:c>
      <x:c r="E10" s="152" t="n">
        <x:f>'Forecast Assumptions'!E14</x:f>
        <x:v>-0.015</x:v>
      </x:c>
      <x:c r="F10" s="152" t="n">
        <x:f>'Forecast Assumptions'!F14</x:f>
        <x:v>0</x:v>
      </x:c>
      <x:c r="G10" s="152" t="n">
        <x:f>'Forecast Assumptions'!G14</x:f>
        <x:v>0.01</x:v>
      </x:c>
    </x:row>
    <x:row r="11">
      <x:c r="A11" t="str">
        <x:v>Other clinical</x:v>
      </x:c>
      <x:c r="B11" s="154" t="n">
        <x:f>'Revenue Breakdown'!D13</x:f>
        <x:v>50.6</x:v>
      </x:c>
      <x:c r="C11" s="154" t="n">
        <x:f>B11*(1+C12)*(1+'Forecast Assumptions'!C17)</x:f>
        <x:v>49.082</x:v>
      </x:c>
      <x:c r="D11" s="154" t="n">
        <x:f>C11*(1+D12)*(1+'Forecast Assumptions'!D17)</x:f>
        <x:v>50.06364</x:v>
      </x:c>
      <x:c r="E11" s="154" t="n">
        <x:f>D11*(1+E12)*(1+'Forecast Assumptions'!E17)</x:f>
        <x:v>51.0649128</x:v>
      </x:c>
      <x:c r="F11" s="154" t="n">
        <x:f>E11*(1+F12)*(1+'Forecast Assumptions'!F17)</x:f>
        <x:v>52.341535619999995</x:v>
      </x:c>
      <x:c r="G11" s="154" t="n">
        <x:f>F11*(1+G12)*(1+'Forecast Assumptions'!G17)</x:f>
        <x:v>53.65007401049999</x:v>
      </x:c>
    </x:row>
    <x:row r="12">
      <x:c r="A12" t="str">
        <x:v>% organic growth</x:v>
      </x:c>
      <x:c r="B12" s="152"/>
      <x:c r="C12" s="152" t="n">
        <x:f>'Forecast Assumptions'!C15</x:f>
        <x:v>0</x:v>
      </x:c>
      <x:c r="D12" s="152" t="n">
        <x:f>'Forecast Assumptions'!D15</x:f>
        <x:v>0.02</x:v>
      </x:c>
      <x:c r="E12" s="152" t="n">
        <x:f>'Forecast Assumptions'!E15</x:f>
        <x:v>0.02</x:v>
      </x:c>
      <x:c r="F12" s="152" t="n">
        <x:f>'Forecast Assumptions'!F15</x:f>
        <x:v>0.025</x:v>
      </x:c>
      <x:c r="G12" s="152" t="n">
        <x:f>'Forecast Assumptions'!G15</x:f>
        <x:v>0.025</x:v>
      </x:c>
    </x:row>
    <x:row r="13">
      <x:c r="A13" t="str">
        <x:v>Industrial applications</x:v>
      </x:c>
      <x:c r="B13" s="154" t="n">
        <x:f>'Revenue Breakdown'!D14</x:f>
        <x:v>638.9</x:v>
      </x:c>
      <x:c r="C13" s="154" t="n">
        <x:f>B13*(1+C14)*(1+'Forecast Assumptions'!C17)</x:f>
        <x:v>669.31164</x:v>
      </x:c>
      <x:c r="D13" s="154" t="n">
        <x:f>C13*(1+D14)*(1+'Forecast Assumptions'!D17)</x:f>
        <x:v>722.8565712000001</x:v>
      </x:c>
      <x:c r="E13" s="154" t="n">
        <x:f>D13*(1+E14)*(1+'Forecast Assumptions'!E17)</x:f>
        <x:v>780.6850968960001</x:v>
      </x:c>
      <x:c r="F13" s="154" t="n">
        <x:f>E13*(1+F14)*(1+'Forecast Assumptions'!F17)</x:f>
        <x:v>835.3330536787201</x:v>
      </x:c>
      <x:c r="G13" s="154" t="n">
        <x:f>F13*(1+G14)*(1+'Forecast Assumptions'!G17)</x:f>
        <x:v>889.629702167837</x:v>
      </x:c>
    </x:row>
    <x:row r="14">
      <x:c r="A14" t="str">
        <x:v>% organic growth</x:v>
      </x:c>
      <x:c r="B14" s="142"/>
      <x:c r="C14" s="152" t="n">
        <x:f>'Forecast Assumptions'!C16</x:f>
        <x:v>0.08</x:v>
      </x:c>
      <x:c r="D14" s="152" t="n">
        <x:f>'Forecast Assumptions'!D16</x:f>
        <x:v>0.08</x:v>
      </x:c>
      <x:c r="E14" s="152" t="n">
        <x:f>'Forecast Assumptions'!E16</x:f>
        <x:v>0.08</x:v>
      </x:c>
      <x:c r="F14" s="152" t="n">
        <x:f>'Forecast Assumptions'!F16</x:f>
        <x:v>0.07</x:v>
      </x:c>
      <x:c r="G14" s="152" t="n">
        <x:f>'Forecast Assumptions'!G16</x:f>
        <x:v>0.065</x:v>
      </x:c>
    </x:row>
    <x:row r="15">
      <x:c r="A15"/>
      <x:c r="B15" s="146"/>
      <x:c r="C15" s="146"/>
      <x:c r="D15" s="146"/>
      <x:c r="E15" s="146"/>
      <x:c r="F15" s="146"/>
      <x:c r="G15" s="146"/>
    </x:row>
    <x:row r="16">
      <x:c r="A16" s="156" t="str">
        <x:v>Total revenue</x:v>
      </x:c>
      <x:c r="B16" s="158" t="n">
        <x:f>SUM(B5,B7,B9,B11,B13)</x:f>
        <x:v>4069.8</x:v>
      </x:c>
      <x:c r="C16" s="158" t="n">
        <x:f>SUM(C5,C7,C9,C11,C13)</x:f>
        <x:v>4117.407015</x:v>
      </x:c>
      <x:c r="D16" s="158" t="n">
        <x:f>SUM(D5,D7,D9,D11,D13)</x:f>
        <x:v>4332.858150325</x:v>
      </x:c>
      <x:c r="E16" s="158" t="n">
        <x:f>SUM(E5,E7,E9,E11,E13)</x:f>
        <x:v>4565.220723114125</x:v>
      </x:c>
      <x:c r="F16" s="158" t="n">
        <x:f>SUM(F5,F7,F9,F11,F13)</x:f>
        <x:v>4806.437174293819</x:v>
      </x:c>
      <x:c r="G16" s="158" t="n">
        <x:f>SUM(G5,G7,G9,G11,G13)</x:f>
        <x:v>5042.072068469226</x:v>
      </x:c>
    </x:row>
    <x:row r="17">
      <x:c r="A17" t="str">
        <x:v>Reported growth</x:v>
      </x:c>
      <x:c r="B17" s="142"/>
      <x:c r="C17" s="142" t="n">
        <x:f>C16/B16-1</x:f>
        <x:v>0.011697630104673395</x:v>
      </x:c>
      <x:c r="D17" s="142" t="n">
        <x:f>D16/C16-1</x:f>
        <x:v>0.052326897617868795</x:v>
      </x:c>
      <x:c r="E17" s="142" t="n">
        <x:f>E16/D16-1</x:f>
        <x:v>0.05362801290222152</x:v>
      </x:c>
      <x:c r="F17" s="142" t="n">
        <x:f>F16/E16-1</x:f>
        <x:v>0.052837850743644</x:v>
      </x:c>
      <x:c r="G17" s="142" t="n">
        <x:f>G16/F16-1</x:f>
        <x:v>0.049024856797390104</x:v>
      </x:c>
    </x:row>
    <x:row r="19" ht="21" customHeight="1">
      <x:c r="A19" s="138" t="str">
        <x:v>Forecast checks / reference</x:v>
      </x:c>
      <x:c r="B19" s="138"/>
      <x:c r="C19" s="138"/>
      <x:c r="D19" s="138"/>
      <x:c r="E19" s="138"/>
      <x:c r="F19" s="138"/>
      <x:c r="G19" s="138"/>
    </x:row>
    <x:row r="20">
      <x:c r="A20" t="str">
        <x:v>Weighted organic growth</x:v>
      </x:c>
      <x:c r="B20" s="142"/>
      <x:c r="C20" s="142" t="n">
        <x:f>(B5*C6+B7*C8+B9*C10+B11*C12+B13*C14)/B16</x:f>
        <x:v>0.04298724753059119</x:v>
      </x:c>
      <x:c r="D20" s="142" t="n">
        <x:f>(C5*D6+C7*D8+C9*D10+C11*D12+C13*D14)/C16</x:f>
        <x:v>0.052326897617868844</x:v>
      </x:c>
      <x:c r="E20" s="142" t="n">
        <x:f>(D5*E6+D7*E8+D9*E10+D11*E12+D13*E14)/D16</x:f>
        <x:v>0.05362801290222158</x:v>
      </x:c>
      <x:c r="F20" s="142" t="n">
        <x:f>(E5*F6+E7*F8+E9*F10+E11*F12+E13*F14)/E16</x:f>
        <x:v>0.05283785074364408</x:v>
      </x:c>
      <x:c r="G20" s="142" t="n">
        <x:f>(F5*G6+F7*G8+F9*G10+F11*G12+F13*G14)/F16</x:f>
        <x:v>0.04902485679739012</x:v>
      </x:c>
    </x:row>
    <x:row r="21">
      <x:c r="A21" t="str">
        <x:v>Group FX impact</x:v>
      </x:c>
      <x:c r="B21" s="142"/>
      <x:c r="C21" s="152" t="n">
        <x:f>'Forecast Assumptions'!C17</x:f>
        <x:v>-0.03</x:v>
      </x:c>
      <x:c r="D21" s="152" t="n">
        <x:f>'Forecast Assumptions'!D17</x:f>
        <x:v>0</x:v>
      </x:c>
      <x:c r="E21" s="152" t="n">
        <x:f>'Forecast Assumptions'!E17</x:f>
        <x:v>0</x:v>
      </x:c>
      <x:c r="F21" s="152" t="n">
        <x:f>'Forecast Assumptions'!F17</x:f>
        <x:v>0</x:v>
      </x:c>
      <x:c r="G21" s="152" t="n">
        <x:f>'Forecast Assumptions'!G17</x:f>
        <x:v>0</x:v>
      </x:c>
    </x:row>
    <x:row r="22">
      <x:c r="A22" t="str">
        <x:v>2026 company organic guidance</x:v>
      </x:c>
      <x:c r="B22"/>
      <x:c r="C22" s="142" t="str">
        <x:v>3%–5%</x:v>
      </x:c>
      <x:c r="D22" s="142"/>
      <x:c r="E22" s="142"/>
      <x:c r="F22" s="142"/>
      <x:c r="G22" s="142"/>
    </x:row>
    <x:row r="23">
      <x:c r="A23" t="str">
        <x:v>2027–2028 company organic guidance</x:v>
      </x:c>
      <x:c r="B23" s="142"/>
      <x:c r="C23" s="142"/>
      <x:c r="D23" s="142" t="str">
        <x:v>3%–6%</x:v>
      </x:c>
      <x:c r="E23" s="152" t="str">
        <x:v>3%–6%</x:v>
      </x:c>
      <x:c r="F23" s="142"/>
      <x:c r="G23" s="142"/>
    </x:row>
    <x:row r="24">
      <x:c r="A24" t="str">
        <x:v>2030 revenue</x:v>
      </x:c>
      <x:c r="B24" s="146"/>
      <x:c r="C24" s="146"/>
      <x:c r="D24" s="146"/>
      <x:c r="E24" s="146"/>
      <x:c r="F24" s="146"/>
      <x:c r="G24" s="146" t="n">
        <x:f>G16</x:f>
        <x:v>5042.072068469226</x:v>
      </x:c>
    </x:row>
    <x:row r="26" ht="21" customHeight="1">
      <x:c r="A26" s="138" t="str">
        <x:v>Methodology</x:v>
      </x:c>
      <x:c r="B26" s="138"/>
      <x:c r="C26" s="138"/>
      <x:c r="D26" s="138"/>
      <x:c r="E26" s="138"/>
      <x:c r="F26" s="138"/>
      <x:c r="G26" s="138"/>
    </x:row>
    <x:row r="27" ht="28" customHeight="1">
      <x:c r="A27" s="162" t="str">
        <x:v>Segment growth rates are independent estimates. FY2026 is anchored to the confirmed 3%–5% organic sales-growth guidance; FY2027–FY2028 are calibrated within the revised 3%–6% annual organic-growth ambition.</x:v>
      </x:c>
      <x:c r="B27" s="162"/>
      <x:c r="C27" s="162"/>
      <x:c r="D27" s="162"/>
      <x:c r="E27" s="162"/>
      <x:c r="F27" s="162"/>
      <x:c r="G27" s="162"/>
    </x:row>
    <x:row r="28" ht="28" customHeight="1">
      <x:c r="A28" s="162" t="str">
        <x:v>The FY2026 reported-revenue forecast also includes a -3% translation-FX assumption because management guides sales organically and does not provide a full-year reported-sales FX estimate.</x:v>
      </x:c>
      <x:c r="B28" s="162"/>
      <x:c r="C28" s="162"/>
      <x:c r="D28" s="162"/>
      <x:c r="E28" s="162"/>
      <x:c r="F28" s="162"/>
      <x:c r="G28" s="162"/>
    </x:row>
  </x:sheetData>
  <x:mergeCells>
    <x:mergeCell ref="A27:G27"/>
    <x:mergeCell ref="A28:G2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20" t="str">
        <x:v>bioMérieux — Operating Forecast</x:v>
      </x:c>
    </x:row>
    <x:row r="2">
      <x:c r="A2" s="122" t="str">
        <x:v>In € millions, year ended 31 December | Base case</x:v>
      </x:c>
    </x:row>
    <x:row r="4" ht="22" customHeight="1">
      <x:c r="A4" s="130"/>
      <x:c r="B4" s="130" t="str">
        <x:v>FY2025A</x:v>
      </x:c>
      <x:c r="C4" s="130" t="str">
        <x:v>FY2026E</x:v>
      </x:c>
      <x:c r="D4" s="130" t="str">
        <x:v>FY2027E</x:v>
      </x:c>
      <x:c r="E4" s="130" t="str">
        <x:v>FY2028E</x:v>
      </x:c>
      <x:c r="F4" s="130" t="str">
        <x:v>FY2029E</x:v>
      </x:c>
      <x:c r="G4" s="130" t="str">
        <x:v>FY2030E</x:v>
      </x:c>
    </x:row>
    <x:row r="5">
      <x:c r="A5" s="156" t="str">
        <x:v>Net sales</x:v>
      </x:c>
      <x:c r="B5" s="158" t="n">
        <x:f>'Income Statement'!D5</x:f>
        <x:v>4069.8</x:v>
      </x:c>
      <x:c r="C5" s="172" t="n">
        <x:f>'Revenue Forecast'!C16</x:f>
        <x:v>4117.407015</x:v>
      </x:c>
      <x:c r="D5" s="172" t="n">
        <x:f>'Revenue Forecast'!D16</x:f>
        <x:v>4332.858150325</x:v>
      </x:c>
      <x:c r="E5" s="172" t="n">
        <x:f>'Revenue Forecast'!E16</x:f>
        <x:v>4565.220723114125</x:v>
      </x:c>
      <x:c r="F5" s="172" t="n">
        <x:f>'Revenue Forecast'!F16</x:f>
        <x:v>4806.437174293819</x:v>
      </x:c>
      <x:c r="G5" s="172" t="n">
        <x:f>'Revenue Forecast'!G16</x:f>
        <x:v>5042.072068469226</x:v>
      </x:c>
    </x:row>
    <x:row r="6">
      <x:c r="A6" t="str">
        <x:v>Reported growth</x:v>
      </x:c>
      <x:c r="B6" s="152" t="n">
        <x:f>'Ratios'!D16</x:f>
        <x:v>0.022588507248925804</x:v>
      </x:c>
      <x:c r="C6" s="142" t="n">
        <x:f>C5/B5-1</x:f>
        <x:v>0.011697630104673395</x:v>
      </x:c>
      <x:c r="D6" s="142" t="n">
        <x:f>D5/C5-1</x:f>
        <x:v>0.052326897617868795</x:v>
      </x:c>
      <x:c r="E6" s="142" t="n">
        <x:f>E5/D5-1</x:f>
        <x:v>0.05362801290222152</x:v>
      </x:c>
      <x:c r="F6" s="142" t="n">
        <x:f>F5/E5-1</x:f>
        <x:v>0.052837850743644</x:v>
      </x:c>
      <x:c r="G6" s="142" t="n">
        <x:f>G5/F5-1</x:f>
        <x:v>0.049024856797390104</x:v>
      </x:c>
    </x:row>
    <x:row r="7">
      <x:c r="A7" t="str">
        <x:v>Cost of sales</x:v>
      </x:c>
      <x:c r="B7" s="154" t="n">
        <x:f>'Income Statement'!D6</x:f>
        <x:v>-1761</x:v>
      </x:c>
      <x:c r="C7" s="154" t="n">
        <x:f>-C5*(1-'Forecast Assumptions'!C21)</x:f>
        <x:v>-1786.9546445100002</x:v>
      </x:c>
      <x:c r="D7" s="154" t="n">
        <x:f>-D5*(1-'Forecast Assumptions'!D21)</x:f>
        <x:v>-1871.7947209404</x:v>
      </x:c>
      <x:c r="E7" s="154" t="n">
        <x:f>-E5*(1-'Forecast Assumptions'!E21)</x:f>
        <x:v>-1963.0449109390738</x:v>
      </x:c>
      <x:c r="F7" s="154" t="n">
        <x:f>-F5*(1-'Forecast Assumptions'!F21)</x:f>
        <x:v>-2057.1551105977546</x:v>
      </x:c>
      <x:c r="G7" s="154" t="n">
        <x:f>-G5*(1-'Forecast Assumptions'!G21)</x:f>
        <x:v>-2147.9227011678904</x:v>
      </x:c>
    </x:row>
    <x:row r="8">
      <x:c r="A8" s="156" t="str">
        <x:v>Gross profit</x:v>
      </x:c>
      <x:c r="B8" s="158" t="n">
        <x:f>'Income Statement'!D7</x:f>
        <x:v>2308.8</x:v>
      </x:c>
      <x:c r="C8" s="158" t="n">
        <x:f>C5+C7</x:f>
        <x:v>2330.4523704899993</x:v>
      </x:c>
      <x:c r="D8" s="158" t="n">
        <x:f>D5+D7</x:f>
        <x:v>2461.0634293845997</x:v>
      </x:c>
      <x:c r="E8" s="158" t="n">
        <x:f>E5+E7</x:f>
        <x:v>2602.175812175051</x:v>
      </x:c>
      <x:c r="F8" s="158" t="n">
        <x:f>F5+F7</x:f>
        <x:v>2749.2820636960646</x:v>
      </x:c>
      <x:c r="G8" s="158" t="n">
        <x:f>G5+G7</x:f>
        <x:v>2894.1493673013356</x:v>
      </x:c>
    </x:row>
    <x:row r="9">
      <x:c r="A9" t="str">
        <x:v>Gross margin</x:v>
      </x:c>
      <x:c r="B9" s="152" t="n">
        <x:f>'Income Statement'!D8</x:f>
        <x:v>0.5673006044523072</x:v>
      </x:c>
      <x:c r="C9" s="142" t="n">
        <x:f>C8/C5</x:f>
        <x:v>0.5659999999999998</x:v>
      </x:c>
      <x:c r="D9" s="142" t="n">
        <x:f>D8/D5</x:f>
        <x:v>0.568</x:v>
      </x:c>
      <x:c r="E9" s="142" t="n">
        <x:f>E8/E5</x:f>
        <x:v>0.57</x:v>
      </x:c>
      <x:c r="F9" s="142" t="n">
        <x:f>F8/F5</x:f>
        <x:v>0.572</x:v>
      </x:c>
      <x:c r="G9" s="142" t="n">
        <x:f>G8/G5</x:f>
        <x:v>0.574</x:v>
      </x:c>
    </x:row>
    <x:row r="10">
      <x:c r="B10" s="154"/>
      <x:c r="C10" s="146"/>
      <x:c r="D10" s="146"/>
      <x:c r="E10" s="146"/>
      <x:c r="F10" s="146"/>
      <x:c r="G10" s="146"/>
    </x:row>
    <x:row r="11">
      <x:c r="A11" t="str">
        <x:v>Other operating income</x:v>
      </x:c>
      <x:c r="B11" s="154" t="n">
        <x:f>'Income Statement'!D10</x:f>
        <x:v>37.8</x:v>
      </x:c>
      <x:c r="C11" s="154" t="n">
        <x:f>C5*'Forecast Assumptions'!C22</x:f>
        <x:v>37.056663134999994</x:v>
      </x:c>
      <x:c r="D11" s="154" t="n">
        <x:f>D5*'Forecast Assumptions'!D22</x:f>
        <x:v>38.995723352925</x:v>
      </x:c>
      <x:c r="E11" s="154" t="n">
        <x:f>E5*'Forecast Assumptions'!E22</x:f>
        <x:v>41.08698650802712</x:v>
      </x:c>
      <x:c r="F11" s="154" t="n">
        <x:f>F5*'Forecast Assumptions'!F22</x:f>
        <x:v>43.25793456864437</x:v>
      </x:c>
      <x:c r="G11" s="154" t="n">
        <x:f>G5*'Forecast Assumptions'!G22</x:f>
        <x:v>45.37864861622303</x:v>
      </x:c>
    </x:row>
    <x:row r="12">
      <x:c r="A12" t="str">
        <x:v>Selling and marketing expenses</x:v>
      </x:c>
      <x:c r="B12" s="154" t="n">
        <x:f>'Income Statement'!D11</x:f>
        <x:v>-791.2</x:v>
      </x:c>
      <x:c r="C12" s="154" t="n">
        <x:f>-C5*'Forecast Assumptions'!C23</x:f>
        <x:v>-790.54214688</x:v>
      </x:c>
      <x:c r="D12" s="154" t="n">
        <x:f>-D5*'Forecast Assumptions'!D23</x:f>
        <x:v>-823.24304856175</x:v>
      </x:c>
      <x:c r="E12" s="154" t="n">
        <x:f>-E5*'Forecast Assumptions'!E23</x:f>
        <x:v>-862.8267166685696</x:v>
      </x:c>
      <x:c r="F12" s="154" t="n">
        <x:f>-F5*'Forecast Assumptions'!F23</x:f>
        <x:v>-903.610188767238</x:v>
      </x:c>
      <x:c r="G12" s="154" t="n">
        <x:f>-G5*'Forecast Assumptions'!G23</x:f>
        <x:v>-942.8674768037453</x:v>
      </x:c>
    </x:row>
    <x:row r="13">
      <x:c r="A13" t="str">
        <x:v>General and administrative expenses</x:v>
      </x:c>
      <x:c r="B13" s="154" t="n">
        <x:f>'Income Statement'!D12</x:f>
        <x:v>-320</x:v>
      </x:c>
      <x:c r="C13" s="154" t="n">
        <x:f>-C5*'Forecast Assumptions'!C24</x:f>
        <x:v>-317.04034015499997</x:v>
      </x:c>
      <x:c r="D13" s="154" t="n">
        <x:f>-D5*'Forecast Assumptions'!D24</x:f>
        <x:v>-329.29721942469996</x:v>
      </x:c>
      <x:c r="E13" s="154" t="n">
        <x:f>-E5*'Forecast Assumptions'!E24</x:f>
        <x:v>-342.39155423355936</x:v>
      </x:c>
      <x:c r="F13" s="154" t="n">
        <x:f>-F5*'Forecast Assumptions'!F24</x:f>
        <x:v>-355.6763508977426</x:v>
      </x:c>
      <x:c r="G13" s="154" t="n">
        <x:f>-G5*'Forecast Assumptions'!G24</x:f>
        <x:v>-368.0712609982535</x:v>
      </x:c>
    </x:row>
    <x:row r="14">
      <x:c r="A14" t="str">
        <x:v>Research and development expenses</x:v>
      </x:c>
      <x:c r="B14" s="154" t="n">
        <x:f>'Income Statement'!D13</x:f>
        <x:v>-507.4</x:v>
      </x:c>
      <x:c r="C14" s="154" t="n">
        <x:f>-C5*'Forecast Assumptions'!C25</x:f>
        <x:v>-510.55846985999995</x:v>
      </x:c>
      <x:c r="D14" s="154" t="n">
        <x:f>-D5*'Forecast Assumptions'!D25</x:f>
        <x:v>-537.2744106403</x:v>
      </x:c>
      <x:c r="E14" s="154" t="n">
        <x:f>-E5*'Forecast Assumptions'!E25</x:f>
        <x:v>-566.0873696661514</x:v>
      </x:c>
      <x:c r="F14" s="154" t="n">
        <x:f>-F5*'Forecast Assumptions'!F25</x:f>
        <x:v>-591.1917724381398</x:v>
      </x:c>
      <x:c r="G14" s="154" t="n">
        <x:f>-G5*'Forecast Assumptions'!G25</x:f>
        <x:v>-615.1327923532456</x:v>
      </x:c>
    </x:row>
    <x:row r="15">
      <x:c r="A15" s="156" t="str">
        <x:v>Total operating expenses</x:v>
      </x:c>
      <x:c r="B15" s="158" t="n">
        <x:f>'Income Statement'!D14</x:f>
        <x:v>-1618.6999999999998</x:v>
      </x:c>
      <x:c r="C15" s="158" t="n">
        <x:f>SUM(C12:C14)</x:f>
        <x:v>-1618.1409568949998</x:v>
      </x:c>
      <x:c r="D15" s="158" t="n">
        <x:f>SUM(D12:D14)</x:f>
        <x:v>-1689.81467862675</x:v>
      </x:c>
      <x:c r="E15" s="158" t="n">
        <x:f>SUM(E12:E14)</x:f>
        <x:v>-1771.3056405682805</x:v>
      </x:c>
      <x:c r="F15" s="158" t="n">
        <x:f>SUM(F12:F14)</x:f>
        <x:v>-1850.4783121031205</x:v>
      </x:c>
      <x:c r="G15" s="158" t="n">
        <x:f>SUM(G12:G14)</x:f>
        <x:v>-1926.0715301552443</x:v>
      </x:c>
    </x:row>
    <x:row r="16">
      <x:c r="B16" s="154"/>
      <x:c r="C16" s="146"/>
      <x:c r="D16" s="146"/>
      <x:c r="E16" s="146"/>
      <x:c r="F16" s="146"/>
      <x:c r="G16" s="146"/>
    </x:row>
    <x:row r="17">
      <x:c r="A17" s="156" t="str">
        <x:v>Underlying CEBIT before FX</x:v>
      </x:c>
      <x:c r="B17" s="158" t="n">
        <x:f>'Income Statement'!D16</x:f>
        <x:v>727.9000000000005</x:v>
      </x:c>
      <x:c r="C17" s="158" t="n">
        <x:f>C8+C11+C15</x:f>
        <x:v>749.3680767299993</x:v>
      </x:c>
      <x:c r="D17" s="158" t="n">
        <x:f>D8+D11+D15</x:f>
        <x:v>810.2444741107745</x:v>
      </x:c>
      <x:c r="E17" s="158" t="n">
        <x:f>E8+E11+E15</x:f>
        <x:v>871.9571581147975</x:v>
      </x:c>
      <x:c r="F17" s="158" t="n">
        <x:f>F8+F11+F15</x:f>
        <x:v>942.0616861615886</x:v>
      </x:c>
      <x:c r="G17" s="158" t="n">
        <x:f>G8+G11+G15</x:f>
        <x:v>1013.4564857623143</x:v>
      </x:c>
    </x:row>
    <x:row r="18">
      <x:c r="A18" t="str">
        <x:v>CEBIT FX impact</x:v>
      </x:c>
      <x:c r="B18" s="154" t="n">
        <x:f>0</x:f>
        <x:v>0</x:v>
      </x:c>
      <x:c r="C18" s="154" t="n">
        <x:f>'Forecast Assumptions'!C26</x:f>
        <x:v>-45</x:v>
      </x:c>
      <x:c r="D18" s="154" t="n">
        <x:f>'Forecast Assumptions'!D26</x:f>
        <x:v>0</x:v>
      </x:c>
      <x:c r="E18" s="154" t="n">
        <x:f>'Forecast Assumptions'!E26</x:f>
        <x:v>0</x:v>
      </x:c>
      <x:c r="F18" s="154" t="n">
        <x:f>'Forecast Assumptions'!F26</x:f>
        <x:v>0</x:v>
      </x:c>
      <x:c r="G18" s="154" t="n">
        <x:f>'Forecast Assumptions'!G26</x:f>
        <x:v>0</x:v>
      </x:c>
    </x:row>
    <x:row r="19">
      <x:c r="A19" s="156" t="str">
        <x:v>Contributive operating income (CEBIT)</x:v>
      </x:c>
      <x:c r="B19" s="158" t="n">
        <x:f>'Income Statement'!D16</x:f>
        <x:v>727.9000000000005</x:v>
      </x:c>
      <x:c r="C19" s="158" t="n">
        <x:f>C17+C18</x:f>
        <x:v>704.3680767299993</x:v>
      </x:c>
      <x:c r="D19" s="158" t="n">
        <x:f>D17+D18</x:f>
        <x:v>810.2444741107745</x:v>
      </x:c>
      <x:c r="E19" s="158" t="n">
        <x:f>E17+E18</x:f>
        <x:v>871.9571581147975</x:v>
      </x:c>
      <x:c r="F19" s="158" t="n">
        <x:f>F17+F18</x:f>
        <x:v>942.0616861615886</x:v>
      </x:c>
      <x:c r="G19" s="158" t="n">
        <x:f>G17+G18</x:f>
        <x:v>1013.4564857623143</x:v>
      </x:c>
    </x:row>
    <x:row r="20">
      <x:c r="A20" t="str">
        <x:v>CEBIT margin</x:v>
      </x:c>
      <x:c r="B20" s="152" t="n">
        <x:f>'Income Statement'!D17</x:f>
        <x:v>0.17885399773944677</x:v>
      </x:c>
      <x:c r="C20" s="142" t="n">
        <x:f>C19/C5</x:f>
        <x:v>0.1710707914383828</x:v>
      </x:c>
      <x:c r="D20" s="142" t="n">
        <x:f>D19/D5</x:f>
        <x:v>0.1869999999999999</x:v>
      </x:c>
      <x:c r="E20" s="142" t="n">
        <x:f>E19/E5</x:f>
        <x:v>0.19099999999999992</x:v>
      </x:c>
      <x:c r="F20" s="142" t="n">
        <x:f>F19/F5</x:f>
        <x:v>0.196</x:v>
      </x:c>
      <x:c r="G20" s="142" t="n">
        <x:f>G19/G5</x:f>
        <x:v>0.20099999999999998</x:v>
      </x:c>
    </x:row>
    <x:row r="21">
      <x:c r="B21" s="154"/>
      <x:c r="C21" s="146"/>
      <x:c r="D21" s="146"/>
      <x:c r="E21" s="146"/>
      <x:c r="F21" s="146"/>
      <x:c r="G21" s="146"/>
    </x:row>
    <x:row r="22">
      <x:c r="A22" t="str">
        <x:v>Amortisation of acquired intangibles &amp; related</x:v>
      </x:c>
      <x:c r="B22" s="154" t="n">
        <x:f>'Income Statement'!D19</x:f>
        <x:v>-166.8</x:v>
      </x:c>
      <x:c r="C22" s="154" t="n">
        <x:f>-'Forecast Assumptions'!C34</x:f>
        <x:v>-30</x:v>
      </x:c>
      <x:c r="D22" s="154" t="n">
        <x:f>-'Forecast Assumptions'!D34</x:f>
        <x:v>-30</x:v>
      </x:c>
      <x:c r="E22" s="154" t="n">
        <x:f>-'Forecast Assumptions'!E34</x:f>
        <x:v>-30</x:v>
      </x:c>
      <x:c r="F22" s="154" t="n">
        <x:f>-'Forecast Assumptions'!F34</x:f>
        <x:v>-30</x:v>
      </x:c>
      <x:c r="G22" s="154" t="n">
        <x:f>-'Forecast Assumptions'!G34</x:f>
        <x:v>-30</x:v>
      </x:c>
    </x:row>
    <x:row r="23">
      <x:c r="A23" s="156" t="str">
        <x:v>Operating income</x:v>
      </x:c>
      <x:c r="B23" s="158" t="n">
        <x:f>'Income Statement'!D22</x:f>
        <x:v>521.3000000000006</x:v>
      </x:c>
      <x:c r="C23" s="158" t="n">
        <x:f>C19+C22</x:f>
        <x:v>674.3680767299993</x:v>
      </x:c>
      <x:c r="D23" s="158" t="n">
        <x:f>D19+D22</x:f>
        <x:v>780.2444741107745</x:v>
      </x:c>
      <x:c r="E23" s="158" t="n">
        <x:f>E19+E22</x:f>
        <x:v>841.9571581147975</x:v>
      </x:c>
      <x:c r="F23" s="158" t="n">
        <x:f>F19+F22</x:f>
        <x:v>912.0616861615886</x:v>
      </x:c>
      <x:c r="G23" s="158" t="n">
        <x:f>G19+G22</x:f>
        <x:v>983.4564857623143</x:v>
      </x:c>
    </x:row>
    <x:row r="24">
      <x:c r="A24" t="str">
        <x:v>Net financial result</x:v>
      </x:c>
      <x:c r="B24" s="154" t="n">
        <x:f>'Income Statement'!D24+'Income Statement'!D25</x:f>
        <x:v>4.299999999999999</x:v>
      </x:c>
      <x:c r="C24" s="154" t="n">
        <x:f>'Forecast Assumptions'!C35</x:f>
        <x:v>-5</x:v>
      </x:c>
      <x:c r="D24" s="154" t="n">
        <x:f>'Forecast Assumptions'!D35</x:f>
        <x:v>0</x:v>
      </x:c>
      <x:c r="E24" s="154" t="n">
        <x:f>'Forecast Assumptions'!E35</x:f>
        <x:v>5</x:v>
      </x:c>
      <x:c r="F24" s="154" t="n">
        <x:f>'Forecast Assumptions'!F35</x:f>
        <x:v>10</x:v>
      </x:c>
      <x:c r="G24" s="154" t="n">
        <x:f>'Forecast Assumptions'!G35</x:f>
        <x:v>15</x:v>
      </x:c>
    </x:row>
    <x:row r="25">
      <x:c r="A25" s="156" t="str">
        <x:v>Profit before tax</x:v>
      </x:c>
      <x:c r="B25" s="158" t="n">
        <x:f>B23+B24</x:f>
        <x:v>525.6000000000006</x:v>
      </x:c>
      <x:c r="C25" s="158" t="n">
        <x:f>C23+C24</x:f>
        <x:v>669.3680767299993</x:v>
      </x:c>
      <x:c r="D25" s="158" t="n">
        <x:f>D23+D24</x:f>
        <x:v>780.2444741107745</x:v>
      </x:c>
      <x:c r="E25" s="158" t="n">
        <x:f>E23+E24</x:f>
        <x:v>846.9571581147975</x:v>
      </x:c>
      <x:c r="F25" s="158" t="n">
        <x:f>F23+F24</x:f>
        <x:v>922.0616861615886</x:v>
      </x:c>
      <x:c r="G25" s="158" t="n">
        <x:f>G23+G24</x:f>
        <x:v>998.4564857623143</x:v>
      </x:c>
    </x:row>
    <x:row r="26">
      <x:c r="A26" t="str">
        <x:v>Income tax</x:v>
      </x:c>
      <x:c r="B26" s="154" t="n">
        <x:f>'Income Statement'!D26</x:f>
        <x:v>-128.8</x:v>
      </x:c>
      <x:c r="C26" s="146" t="n">
        <x:f>-C25*C27</x:f>
        <x:v>-160.64833841519982</x:v>
      </x:c>
      <x:c r="D26" s="146" t="n">
        <x:f>-D25*D27</x:f>
        <x:v>-191.15989615713974</x:v>
      </x:c>
      <x:c r="E26" s="146" t="n">
        <x:f>-E25*E27</x:f>
        <x:v>-207.50450373812538</x:v>
      </x:c>
      <x:c r="F26" s="146" t="n">
        <x:f>-F25*F27</x:f>
        <x:v>-225.9051131095892</x:v>
      </x:c>
      <x:c r="G26" s="146" t="n">
        <x:f>-G25*G27</x:f>
        <x:v>-244.621839011767</x:v>
      </x:c>
    </x:row>
    <x:row r="27">
      <x:c r="A27" t="str">
        <x:v>Cash tax rate</x:v>
      </x:c>
      <x:c r="B27" s="152" t="n">
        <x:f>'Ratios'!D13</x:f>
        <x:v>0.24505327245053246</x:v>
      </x:c>
      <x:c r="C27" s="152" t="n">
        <x:f>'Forecast Assumptions'!C33</x:f>
        <x:v>0.24</x:v>
      </x:c>
      <x:c r="D27" s="152" t="n">
        <x:f>'Forecast Assumptions'!D33</x:f>
        <x:v>0.245</x:v>
      </x:c>
      <x:c r="E27" s="152" t="n">
        <x:f>'Forecast Assumptions'!E33</x:f>
        <x:v>0.245</x:v>
      </x:c>
      <x:c r="F27" s="152" t="n">
        <x:f>'Forecast Assumptions'!F33</x:f>
        <x:v>0.245</x:v>
      </x:c>
      <x:c r="G27" s="152" t="n">
        <x:f>'Forecast Assumptions'!G33</x:f>
        <x:v>0.245</x:v>
      </x:c>
    </x:row>
    <x:row r="28">
      <x:c r="A28" s="156" t="str">
        <x:v>Net income of consolidated companies</x:v>
      </x:c>
      <x:c r="B28" s="158" t="n">
        <x:f>'Income Statement'!D28</x:f>
        <x:v>396.9000000000006</x:v>
      </x:c>
      <x:c r="C28" s="158" t="n">
        <x:f>C25+C26</x:f>
        <x:v>508.7197383147995</x:v>
      </x:c>
      <x:c r="D28" s="158" t="n">
        <x:f>D25+D26</x:f>
        <x:v>589.0845779536347</x:v>
      </x:c>
      <x:c r="E28" s="158" t="n">
        <x:f>E25+E26</x:f>
        <x:v>639.4526543766722</x:v>
      </x:c>
      <x:c r="F28" s="158" t="n">
        <x:f>F25+F26</x:f>
        <x:v>696.1565730519994</x:v>
      </x:c>
      <x:c r="G28" s="158" t="n">
        <x:f>G25+G26</x:f>
        <x:v>753.8346467505473</x:v>
      </x:c>
    </x:row>
    <x:row r="29">
      <x:c r="A29" t="str">
        <x:v>Attributable to minority interests</x:v>
      </x:c>
      <x:c r="B29" s="154" t="n">
        <x:f>'Income Statement'!D29</x:f>
        <x:v>-0.6</x:v>
      </x:c>
      <x:c r="C29" s="154" t="n">
        <x:f>-'Forecast Assumptions'!C36</x:f>
        <x:v>-1</x:v>
      </x:c>
      <x:c r="D29" s="154" t="n">
        <x:f>-'Forecast Assumptions'!D36</x:f>
        <x:v>-1</x:v>
      </x:c>
      <x:c r="E29" s="154" t="n">
        <x:f>-'Forecast Assumptions'!E36</x:f>
        <x:v>-1</x:v>
      </x:c>
      <x:c r="F29" s="154" t="n">
        <x:f>-'Forecast Assumptions'!F36</x:f>
        <x:v>-1</x:v>
      </x:c>
      <x:c r="G29" s="154" t="n">
        <x:f>-'Forecast Assumptions'!G36</x:f>
        <x:v>-1</x:v>
      </x:c>
    </x:row>
    <x:row r="30">
      <x:c r="A30" s="156" t="str">
        <x:v>Net income, group share</x:v>
      </x:c>
      <x:c r="B30" s="158" t="n">
        <x:f>'Income Statement'!D30</x:f>
        <x:v>397.5000000000006</x:v>
      </x:c>
      <x:c r="C30" s="158" t="n">
        <x:f>C28-C29</x:f>
        <x:v>509.7197383147995</x:v>
      </x:c>
      <x:c r="D30" s="158" t="n">
        <x:f>D28-D29</x:f>
        <x:v>590.0845779536347</x:v>
      </x:c>
      <x:c r="E30" s="158" t="n">
        <x:f>E28-E29</x:f>
        <x:v>640.4526543766722</x:v>
      </x:c>
      <x:c r="F30" s="158" t="n">
        <x:f>F28-F29</x:f>
        <x:v>697.1565730519994</x:v>
      </x:c>
      <x:c r="G30" s="158" t="n">
        <x:f>G28-G29</x:f>
        <x:v>754.8346467505473</x:v>
      </x:c>
    </x:row>
    <x:row r="31">
      <x:c r="B31" s="154"/>
      <x:c r="C31" s="146"/>
      <x:c r="D31" s="146"/>
      <x:c r="E31" s="146"/>
      <x:c r="F31" s="146"/>
      <x:c r="G31" s="146"/>
    </x:row>
    <x:row r="32">
      <x:c r="A32" t="str">
        <x:v>Diluted shares (m)</x:v>
      </x:c>
      <x:c r="B32" s="168" t="n">
        <x:f>B30/'Income Statement'!D34</x:f>
        <x:v>119.01197604790438</x:v>
      </x:c>
      <x:c r="C32" s="174" t="n">
        <x:v>119</x:v>
      </x:c>
      <x:c r="D32" s="174" t="n">
        <x:v>119</x:v>
      </x:c>
      <x:c r="E32" s="174" t="n">
        <x:v>119</x:v>
      </x:c>
      <x:c r="F32" s="174" t="n">
        <x:v>119</x:v>
      </x:c>
      <x:c r="G32" s="174" t="n">
        <x:v>119</x:v>
      </x:c>
    </x:row>
    <x:row r="33">
      <x:c r="A33" t="str">
        <x:v>Diluted EPS (€)</x:v>
      </x:c>
      <x:c r="B33" s="164" t="n">
        <x:f>'Income Statement'!D34</x:f>
        <x:v>3.34</x:v>
      </x:c>
      <x:c r="C33" s="165" t="n">
        <x:f>C30/C32</x:f>
        <x:v>4.283359145502517</x:v>
      </x:c>
      <x:c r="D33" s="165" t="n">
        <x:f>D30/D32</x:f>
        <x:v>4.958693932383485</x:v>
      </x:c>
      <x:c r="E33" s="165" t="n">
        <x:f>E30/E32</x:f>
        <x:v>5.381955078795564</x:v>
      </x:c>
      <x:c r="F33" s="165" t="n">
        <x:f>F30/F32</x:f>
        <x:v>5.858458597075625</x:v>
      </x:c>
      <x:c r="G33" s="165" t="n">
        <x:f>G30/G32</x:f>
        <x:v>6.343148292021406</x:v>
      </x:c>
    </x:row>
    <x:row r="34">
      <x:c r="B34" s="154"/>
      <x:c r="C34" s="146"/>
      <x:c r="D34" s="146"/>
      <x:c r="E34" s="146"/>
      <x:c r="F34" s="146"/>
      <x:c r="G34" s="146"/>
    </x:row>
    <x:row r="35">
      <x:c r="A35" t="str">
        <x:v>D&amp;A</x:v>
      </x:c>
      <x:c r="B35" s="154" t="n">
        <x:f>'Income Statement'!D38-'Income Statement'!D16</x:f>
        <x:v>231.7999999999995</x:v>
      </x:c>
      <x:c r="C35" s="154" t="n">
        <x:f>C5*'Forecast Assumptions'!C30</x:f>
        <x:v>255.27923492999997</x:v>
      </x:c>
      <x:c r="D35" s="154" t="n">
        <x:f>D5*'Forecast Assumptions'!D30</x:f>
        <x:v>259.9714890195</x:v>
      </x:c>
      <x:c r="E35" s="154" t="n">
        <x:f>E5*'Forecast Assumptions'!E30</x:f>
        <x:v>264.78280194061927</x:v>
      </x:c>
      <x:c r="F35" s="154" t="n">
        <x:f>F5*'Forecast Assumptions'!F30</x:f>
        <x:v>269.1604817604539</x:v>
      </x:c>
      <x:c r="G35" s="154" t="n">
        <x:f>G5*'Forecast Assumptions'!G30</x:f>
        <x:v>277.31396376580744</x:v>
      </x:c>
    </x:row>
    <x:row r="36">
      <x:c r="A36" s="156" t="str">
        <x:v>EBITDA</x:v>
      </x:c>
      <x:c r="B36" s="158" t="n">
        <x:f>'Income Statement'!D38</x:f>
        <x:v>959.7</x:v>
      </x:c>
      <x:c r="C36" s="158" t="n">
        <x:f>C19+C35</x:f>
        <x:v>959.6473116599993</x:v>
      </x:c>
      <x:c r="D36" s="158" t="n">
        <x:f>D19+D35</x:f>
        <x:v>1070.2159631302745</x:v>
      </x:c>
      <x:c r="E36" s="158" t="n">
        <x:f>E19+E35</x:f>
        <x:v>1136.7399600554168</x:v>
      </x:c>
      <x:c r="F36" s="158" t="n">
        <x:f>F19+F35</x:f>
        <x:v>1211.2221679220424</x:v>
      </x:c>
      <x:c r="G36" s="158" t="n">
        <x:f>G19+G35</x:f>
        <x:v>1290.7704495281218</x:v>
      </x:c>
    </x:row>
    <x:row r="37">
      <x:c r="A37" t="str">
        <x:v>EBITDA margin</x:v>
      </x:c>
      <x:c r="B37" s="152" t="n">
        <x:f>'Income Statement'!D39</x:f>
        <x:v>0.23581011351909184</x:v>
      </x:c>
      <x:c r="C37" s="142" t="n">
        <x:f>C36/C5</x:f>
        <x:v>0.23307079143838283</x:v>
      </x:c>
      <x:c r="D37" s="142" t="n">
        <x:f>D36/D5</x:f>
        <x:v>0.24699999999999991</x:v>
      </x:c>
      <x:c r="E37" s="142" t="n">
        <x:f>E36/E5</x:f>
        <x:v>0.24899999999999994</x:v>
      </x:c>
      <x:c r="F37" s="142" t="n">
        <x:f>F36/F5</x:f>
        <x:v>0.252</x:v>
      </x:c>
      <x:c r="G37" s="142" t="n">
        <x:f>G36/G5</x:f>
        <x:v>0.256</x:v>
      </x:c>
    </x:row>
    <x:row r="39" ht="21" customHeight="1">
      <x:c r="A39" s="138" t="str">
        <x:v>Key interpretation</x:v>
      </x:c>
      <x:c r="B39" s="138"/>
      <x:c r="C39" s="138"/>
      <x:c r="D39" s="138"/>
      <x:c r="E39" s="138"/>
      <x:c r="F39" s="138"/>
      <x:c r="G39" s="138"/>
    </x:row>
    <x:row r="40" ht="32" customHeight="1">
      <x:c r="A40" s="162" t="str">
        <x:v>H1 2026 results are incorporated. The FY2026 base case uses the €45m midpoint of the revised €40m–€50m CEBIT FX headwind; 2027–2028 margin improvement reflects management's objective for organic CEBIT growth to exceed organic sales growth.</x:v>
      </x:c>
      <x:c r="B40" s="162"/>
      <x:c r="C40" s="162"/>
      <x:c r="D40" s="162"/>
      <x:c r="E40" s="162"/>
      <x:c r="F40" s="162"/>
      <x:c r="G40" s="162"/>
    </x:row>
  </x:sheetData>
  <x:mergeCells>
    <x:mergeCell ref="A40:G4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20" t="str">
        <x:v>bioMérieux — Forecast Cash Flow and UFCF Bridge</x:v>
      </x:c>
    </x:row>
    <x:row r="2">
      <x:c r="A2" s="122" t="str">
        <x:v>In € millions, year ended 31 December | Base case</x:v>
      </x:c>
    </x:row>
    <x:row r="4" ht="22" customHeight="1">
      <x:c r="A4" s="130"/>
      <x:c r="B4" s="130" t="str">
        <x:v>FY2025A</x:v>
      </x:c>
      <x:c r="C4" s="130" t="str">
        <x:v>FY2026E</x:v>
      </x:c>
      <x:c r="D4" s="130" t="str">
        <x:v>FY2027E</x:v>
      </x:c>
      <x:c r="E4" s="130" t="str">
        <x:v>FY2028E</x:v>
      </x:c>
      <x:c r="F4" s="130" t="str">
        <x:v>FY2029E</x:v>
      </x:c>
      <x:c r="G4" s="130" t="str">
        <x:v>FY2030E</x:v>
      </x:c>
    </x:row>
    <x:row r="5">
      <x:c r="A5" t="str">
        <x:v>Contributive operating income (CEBIT)</x:v>
      </x:c>
      <x:c r="B5" s="154" t="n">
        <x:f>'Income Statement'!D16</x:f>
        <x:v>727.9000000000005</x:v>
      </x:c>
      <x:c r="C5" s="154" t="n">
        <x:f>'Operating Forecast'!C19</x:f>
        <x:v>704.3680767299993</x:v>
      </x:c>
      <x:c r="D5" s="154" t="n">
        <x:f>'Operating Forecast'!D19</x:f>
        <x:v>810.2444741107745</x:v>
      </x:c>
      <x:c r="E5" s="154" t="n">
        <x:f>'Operating Forecast'!E19</x:f>
        <x:v>871.9571581147975</x:v>
      </x:c>
      <x:c r="F5" s="154" t="n">
        <x:f>'Operating Forecast'!F19</x:f>
        <x:v>942.0616861615886</x:v>
      </x:c>
      <x:c r="G5" s="154" t="n">
        <x:f>'Operating Forecast'!G19</x:f>
        <x:v>1013.4564857623143</x:v>
      </x:c>
    </x:row>
    <x:row r="6">
      <x:c r="A6" t="str">
        <x:v>Cash tax rate</x:v>
      </x:c>
      <x:c r="B6" s="152" t="n">
        <x:f>'Ratios'!D13</x:f>
        <x:v>0.24505327245053246</x:v>
      </x:c>
      <x:c r="C6" s="152" t="n">
        <x:f>'Forecast Assumptions'!C33</x:f>
        <x:v>0.24</x:v>
      </x:c>
      <x:c r="D6" s="152" t="n">
        <x:f>'Forecast Assumptions'!D33</x:f>
        <x:v>0.245</x:v>
      </x:c>
      <x:c r="E6" s="152" t="n">
        <x:f>'Forecast Assumptions'!E33</x:f>
        <x:v>0.245</x:v>
      </x:c>
      <x:c r="F6" s="152" t="n">
        <x:f>'Forecast Assumptions'!F33</x:f>
        <x:v>0.245</x:v>
      </x:c>
      <x:c r="G6" s="152" t="n">
        <x:f>'Forecast Assumptions'!G33</x:f>
        <x:v>0.245</x:v>
      </x:c>
    </x:row>
    <x:row r="7">
      <x:c r="A7" s="156" t="str">
        <x:v>NOPAT</x:v>
      </x:c>
      <x:c r="B7" s="158" t="n">
        <x:f>B5*(1-B6)</x:f>
        <x:v>549.5257229832579</x:v>
      </x:c>
      <x:c r="C7" s="158" t="n">
        <x:f>C5*(1-C6)</x:f>
        <x:v>535.3197383147995</x:v>
      </x:c>
      <x:c r="D7" s="158" t="n">
        <x:f>D5*(1-D6)</x:f>
        <x:v>611.7345779536347</x:v>
      </x:c>
      <x:c r="E7" s="158" t="n">
        <x:f>E5*(1-E6)</x:f>
        <x:v>658.3276543766721</x:v>
      </x:c>
      <x:c r="F7" s="158" t="n">
        <x:f>F5*(1-F6)</x:f>
        <x:v>711.2565730519993</x:v>
      </x:c>
      <x:c r="G7" s="158" t="n">
        <x:f>G5*(1-G6)</x:f>
        <x:v>765.1596467505473</x:v>
      </x:c>
    </x:row>
    <x:row r="8">
      <x:c r="A8" t="str">
        <x:v>Add: D&amp;A</x:v>
      </x:c>
      <x:c r="B8" s="154" t="n">
        <x:f>'Income Statement'!D38-'Income Statement'!D16</x:f>
        <x:v>231.7999999999995</x:v>
      </x:c>
      <x:c r="C8" s="154" t="n">
        <x:f>'Operating Forecast'!C35</x:f>
        <x:v>255.27923492999997</x:v>
      </x:c>
      <x:c r="D8" s="154" t="n">
        <x:f>'Operating Forecast'!D35</x:f>
        <x:v>259.9714890195</x:v>
      </x:c>
      <x:c r="E8" s="154" t="n">
        <x:f>'Operating Forecast'!E35</x:f>
        <x:v>264.78280194061927</x:v>
      </x:c>
      <x:c r="F8" s="154" t="n">
        <x:f>'Operating Forecast'!F35</x:f>
        <x:v>269.1604817604539</x:v>
      </x:c>
      <x:c r="G8" s="154" t="n">
        <x:f>'Operating Forecast'!G35</x:f>
        <x:v>277.31396376580744</x:v>
      </x:c>
    </x:row>
    <x:row r="9">
      <x:c r="A9" t="str">
        <x:v>Less: Capital expenditure</x:v>
      </x:c>
      <x:c r="B9" s="154" t="n">
        <x:f>-'Cash Flow'!D13</x:f>
        <x:v>335.3</x:v>
      </x:c>
      <x:c r="C9" s="154" t="n">
        <x:f>'Operating Forecast'!C5*'Forecast Assumptions'!C31</x:f>
        <x:v>329.3925612</x:v>
      </x:c>
      <x:c r="D9" s="154" t="n">
        <x:f>'Operating Forecast'!D5*'Forecast Assumptions'!D31</x:f>
        <x:v>368.292942777625</x:v>
      </x:c>
      <x:c r="E9" s="154" t="n">
        <x:f>'Operating Forecast'!E5*'Forecast Assumptions'!E31</x:f>
        <x:v>388.04376146470065</x:v>
      </x:c>
      <x:c r="F9" s="154" t="n">
        <x:f>'Operating Forecast'!F5*'Forecast Assumptions'!F31</x:f>
        <x:v>384.51497394350554</x:v>
      </x:c>
      <x:c r="G9" s="154" t="n">
        <x:f>'Operating Forecast'!G5*'Forecast Assumptions'!G31</x:f>
        <x:v>378.1554051351919</x:v>
      </x:c>
    </x:row>
    <x:row r="10">
      <x:c r="A10" t="str">
        <x:v>Operating NWC</x:v>
      </x:c>
      <x:c r="B10" s="154" t="n">
        <x:f>'Balance Sheet'!D16+'Balance Sheet'!D17+'Balance Sheet'!D18-'Balance Sheet'!D41-'Balance Sheet'!D42</x:f>
        <x:v>1102.9</x:v>
      </x:c>
      <x:c r="C10" s="154" t="n">
        <x:f>'Operating Forecast'!C5*'Forecast Assumptions'!C32</x:f>
        <x:v>1103.46508002</x:v>
      </x:c>
      <x:c r="D10" s="154" t="n">
        <x:f>'Operating Forecast'!D5*'Forecast Assumptions'!D32</x:f>
        <x:v>1148.207409836125</x:v>
      </x:c>
      <x:c r="E10" s="154" t="n">
        <x:f>'Operating Forecast'!E5*'Forecast Assumptions'!E32</x:f>
        <x:v>1196.0878294559006</x:v>
      </x:c>
      <x:c r="F10" s="154" t="n">
        <x:f>'Operating Forecast'!F5*'Forecast Assumptions'!F32</x:f>
        <x:v>1249.673665316393</x:v>
      </x:c>
      <x:c r="G10" s="154" t="n">
        <x:f>'Operating Forecast'!G5*'Forecast Assumptions'!G32</x:f>
        <x:v>1300.8545936650603</x:v>
      </x:c>
    </x:row>
    <x:row r="11">
      <x:c r="A11" t="str">
        <x:v>Operating NWC / sales</x:v>
      </x:c>
      <x:c r="B11" s="152" t="n">
        <x:f>B10/'Income Statement'!D5</x:f>
        <x:v>0.27099611774534377</x:v>
      </x:c>
      <x:c r="C11" s="142" t="n">
        <x:f>C10/'Operating Forecast'!C5</x:f>
        <x:v>0.268</x:v>
      </x:c>
      <x:c r="D11" s="142" t="n">
        <x:f>D10/'Operating Forecast'!D5</x:f>
        <x:v>0.265</x:v>
      </x:c>
      <x:c r="E11" s="142" t="n">
        <x:f>E10/'Operating Forecast'!E5</x:f>
        <x:v>0.262</x:v>
      </x:c>
      <x:c r="F11" s="142" t="n">
        <x:f>F10/'Operating Forecast'!F5</x:f>
        <x:v>0.26</x:v>
      </x:c>
      <x:c r="G11" s="142" t="n">
        <x:f>G10/'Operating Forecast'!G5</x:f>
        <x:v>0.258</x:v>
      </x:c>
    </x:row>
    <x:row r="12">
      <x:c r="A12" t="str">
        <x:v>Change in operating NWC</x:v>
      </x:c>
      <x:c r="B12" s="154" t="n">
        <x:f>B10-('Balance Sheet'!C16+'Balance Sheet'!C17+'Balance Sheet'!C18-'Balance Sheet'!C41-'Balance Sheet'!C42)</x:f>
        <x:v>-56.09999999999968</x:v>
      </x:c>
      <x:c r="C12" s="146" t="n">
        <x:f>C10-B10</x:f>
        <x:v>0.5650800199998685</x:v>
      </x:c>
      <x:c r="D12" s="146" t="n">
        <x:f>D10-C10</x:f>
        <x:v>44.74232981612499</x:v>
      </x:c>
      <x:c r="E12" s="146" t="n">
        <x:f>E10-D10</x:f>
        <x:v>47.880419619775694</x:v>
      </x:c>
      <x:c r="F12" s="146" t="n">
        <x:f>F10-E10</x:f>
        <x:v>53.58583586049235</x:v>
      </x:c>
      <x:c r="G12" s="146" t="n">
        <x:f>G10-F10</x:f>
        <x:v>51.180928348667294</x:v>
      </x:c>
    </x:row>
    <x:row r="13">
      <x:c r="A13" s="156" t="str">
        <x:v>Unlevered free cash flow</x:v>
      </x:c>
      <x:c r="B13" s="158" t="n">
        <x:f>B7+B8-B9-B12</x:f>
        <x:v>502.12572298325705</x:v>
      </x:c>
      <x:c r="C13" s="158" t="n">
        <x:f>C7+C8-C9-C12</x:f>
        <x:v>460.6413320247996</x:v>
      </x:c>
      <x:c r="D13" s="158" t="n">
        <x:f>D7+D8-D9-D12</x:f>
        <x:v>458.67079437938474</x:v>
      </x:c>
      <x:c r="E13" s="158" t="n">
        <x:f>E7+E8-E9-E12</x:f>
        <x:v>487.186275232815</x:v>
      </x:c>
      <x:c r="F13" s="158" t="n">
        <x:f>F7+F8-F9-F12</x:f>
        <x:v>542.3162450084553</x:v>
      </x:c>
      <x:c r="G13" s="158" t="n">
        <x:f>G7+G8-G9-G12</x:f>
        <x:v>613.1372770324955</x:v>
      </x:c>
    </x:row>
    <x:row r="14">
      <x:c r="A14" t="str">
        <x:v>UFCF margin</x:v>
      </x:c>
      <x:c r="B14" s="152" t="n">
        <x:f>B13/'Income Statement'!D5</x:f>
        <x:v>0.12337847633378962</x:v>
      </x:c>
      <x:c r="C14" s="142" t="n">
        <x:f>C13/'Operating Forecast'!C5</x:f>
        <x:v>0.1118765597733358</x:v>
      </x:c>
      <x:c r="D14" s="142" t="n">
        <x:f>D13/'Operating Forecast'!D5</x:f>
        <x:v>0.10585871460965798</x:v>
      </x:c>
      <x:c r="E14" s="142" t="n">
        <x:f>E13/'Operating Forecast'!E5</x:f>
        <x:v>0.10671691573775324</x:v>
      </x:c>
      <x:c r="F14" s="142" t="n">
        <x:f>F13/'Operating Forecast'!F5</x:f>
        <x:v>0.11283123555820421</x:v>
      </x:c>
      <x:c r="G14" s="142" t="n">
        <x:f>G13/'Operating Forecast'!G5</x:f>
        <x:v>0.12160422713248605</x:v>
      </x:c>
    </x:row>
    <x:row r="15">
      <x:c r="B15" s="154"/>
      <x:c r="C15" s="146"/>
      <x:c r="D15" s="146"/>
      <x:c r="E15" s="146"/>
      <x:c r="F15" s="146"/>
      <x:c r="G15" s="146"/>
    </x:row>
    <x:row r="16">
      <x:c r="A16" s="156" t="str">
        <x:v>Reported company free cash flow</x:v>
      </x:c>
      <x:c r="B16" s="158" t="n">
        <x:f>'Cash Flow'!D16</x:f>
        <x:v>462.40000000000003</x:v>
      </x:c>
      <x:c r="C16" s="158"/>
      <x:c r="D16" s="158"/>
      <x:c r="E16" s="158"/>
      <x:c r="F16" s="158"/>
      <x:c r="G16" s="158"/>
    </x:row>
    <x:row r="17">
      <x:c r="A17" t="str">
        <x:v>Difference: UFCF vs reported FCF</x:v>
      </x:c>
      <x:c r="B17" s="154" t="n">
        <x:f>B13-B16</x:f>
        <x:v>39.725722983257015</x:v>
      </x:c>
      <x:c r="C17" s="146"/>
      <x:c r="D17" s="146"/>
      <x:c r="E17" s="146"/>
      <x:c r="F17" s="146"/>
      <x:c r="G17" s="146"/>
    </x:row>
    <x:row r="18">
      <x:c r="B18" s="146"/>
      <x:c r="C18" s="146"/>
      <x:c r="D18" s="146"/>
      <x:c r="E18" s="146"/>
      <x:c r="F18" s="146"/>
      <x:c r="G18" s="146"/>
    </x:row>
    <x:row r="19">
      <x:c r="A19" t="str">
        <x:v>Forecast check</x:v>
      </x:c>
      <x:c r="B19" s="146"/>
      <x:c r="C19" s="176" t="str">
        <x:f>IF(C13&gt;0,"OK","CHECK")</x:f>
        <x:v>OK</x:v>
      </x:c>
      <x:c r="D19" s="176" t="str">
        <x:f>IF(D13&gt;0,"OK","CHECK")</x:f>
        <x:v>OK</x:v>
      </x:c>
      <x:c r="E19" s="176" t="str">
        <x:f>IF(E13&gt;0,"OK","CHECK")</x:f>
        <x:v>OK</x:v>
      </x:c>
      <x:c r="F19" s="176" t="str">
        <x:f>IF(F13&gt;0,"OK","CHECK")</x:f>
        <x:v>OK</x:v>
      </x:c>
      <x:c r="G19" s="176" t="str">
        <x:f>IF(G13&gt;0,"OK","CHECK")</x:f>
        <x:v>OK</x:v>
      </x:c>
    </x:row>
    <x:row r="20">
      <x:c r="A20" s="156" t="str">
        <x:v>Five-year UFCF total</x:v>
      </x:c>
      <x:c r="B20" s="158"/>
      <x:c r="C20" s="158"/>
      <x:c r="D20" s="158"/>
      <x:c r="E20" s="158"/>
      <x:c r="F20" s="158"/>
      <x:c r="G20" s="158" t="n">
        <x:f>SUM(C13:G13)</x:f>
        <x:v>2561.95192367795</x:v>
      </x:c>
    </x:row>
    <x:row r="22" ht="21" customHeight="1">
      <x:c r="A22" s="138" t="str">
        <x:v>Methodology</x:v>
      </x:c>
      <x:c r="B22" s="138"/>
      <x:c r="C22" s="138"/>
      <x:c r="D22" s="138"/>
      <x:c r="E22" s="138"/>
      <x:c r="F22" s="138"/>
      <x:c r="G22" s="138"/>
    </x:row>
    <x:row r="23" ht="26" customHeight="1">
      <x:c r="A23" s="162" t="str">
        <x:v>Operating NWC = inventories + trade receivables + other operating receivables − trade payables − other operating liabilities.</x:v>
      </x:c>
      <x:c r="B23" s="162"/>
      <x:c r="C23" s="162"/>
      <x:c r="D23" s="162"/>
      <x:c r="E23" s="162"/>
      <x:c r="F23" s="162"/>
      <x:c r="G23" s="162"/>
    </x:row>
    <x:row r="24" ht="26" customHeight="1">
      <x:c r="A24" s="162" t="str">
        <x:v>UFCF = CEBIT × (1 − cash tax rate) + D&amp;A − capex − change in operating NWC.</x:v>
      </x:c>
      <x:c r="B24" s="162"/>
      <x:c r="C24" s="162"/>
      <x:c r="D24" s="162"/>
      <x:c r="E24" s="162"/>
      <x:c r="F24" s="162"/>
      <x:c r="G24" s="162"/>
    </x:row>
    <x:row r="25" ht="26" customHeight="1">
      <x:c r="A25" s="162" t="str">
        <x:v>The UFCF bridge is designed for the next DCF stage and is intentionally distinct from bioMérieux's reported free-cash-flow definition.</x:v>
      </x:c>
      <x:c r="B25" s="162"/>
      <x:c r="C25" s="162"/>
      <x:c r="D25" s="162"/>
      <x:c r="E25" s="162"/>
      <x:c r="F25" s="162"/>
      <x:c r="G25" s="162"/>
    </x:row>
  </x:sheetData>
  <x:mergeCells>
    <x:mergeCell ref="A23:G23"/>
    <x:mergeCell ref="A24:G24"/>
    <x:mergeCell ref="A25:G25"/>
  </x:mergeCells>
  <x:conditionalFormatting sqref="C19:G19">
    <x:cfRule type="expression" dxfId="10" priority="1">
      <x:formula>C19="OK"</x:formula>
    </x:cfRule>
    <x:cfRule type="expression" dxfId="11" priority="2">
      <x:formula>C19="CHECK"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>
      <x:c r="A1" s="120" t="str">
        <x:v>bioMérieux — Five-Year Forecast Summary</x:v>
      </x:c>
    </x:row>
    <x:row r="2">
      <x:c r="A2" s="122" t="str">
        <x:v>Base case | FY2026E–FY2030E | Updated for H1 2026 results | 19 August 2026</x:v>
      </x:c>
    </x:row>
    <x:row r="4" ht="22" customHeight="1">
      <x:c r="A4" s="130"/>
      <x:c r="B4" s="130" t="str">
        <x:v>FY2025A</x:v>
      </x:c>
      <x:c r="C4" s="130" t="str">
        <x:v>FY2026E</x:v>
      </x:c>
      <x:c r="D4" s="130" t="str">
        <x:v>FY2027E</x:v>
      </x:c>
      <x:c r="E4" s="130" t="str">
        <x:v>FY2028E</x:v>
      </x:c>
      <x:c r="F4" s="130" t="str">
        <x:v>FY2029E</x:v>
      </x:c>
      <x:c r="G4" s="130" t="str">
        <x:v>FY2030E</x:v>
      </x:c>
    </x:row>
    <x:row r="5">
      <x:c r="A5" s="156" t="str">
        <x:v>Revenue</x:v>
      </x:c>
      <x:c r="B5" s="158" t="n">
        <x:f>'Operating Forecast'!B5</x:f>
        <x:v>4069.8</x:v>
      </x:c>
      <x:c r="C5" s="158" t="n">
        <x:f>'Operating Forecast'!C5</x:f>
        <x:v>4117.407015</x:v>
      </x:c>
      <x:c r="D5" s="158" t="n">
        <x:f>'Operating Forecast'!D5</x:f>
        <x:v>4332.858150325</x:v>
      </x:c>
      <x:c r="E5" s="158" t="n">
        <x:f>'Operating Forecast'!E5</x:f>
        <x:v>4565.220723114125</x:v>
      </x:c>
      <x:c r="F5" s="158" t="n">
        <x:f>'Operating Forecast'!F5</x:f>
        <x:v>4806.437174293819</x:v>
      </x:c>
      <x:c r="G5" s="158" t="n">
        <x:f>'Operating Forecast'!G5</x:f>
        <x:v>5042.072068469226</x:v>
      </x:c>
    </x:row>
    <x:row r="6">
      <x:c r="A6" t="str">
        <x:v>Reported growth</x:v>
      </x:c>
      <x:c r="B6" s="152" t="n">
        <x:f>'Operating Forecast'!B6</x:f>
        <x:v>0.022588507248925804</x:v>
      </x:c>
      <x:c r="C6" s="152" t="n">
        <x:f>'Operating Forecast'!C6</x:f>
        <x:v>0.011697630104673395</x:v>
      </x:c>
      <x:c r="D6" s="152" t="n">
        <x:f>'Operating Forecast'!D6</x:f>
        <x:v>0.052326897617868795</x:v>
      </x:c>
      <x:c r="E6" s="152" t="n">
        <x:f>'Operating Forecast'!E6</x:f>
        <x:v>0.05362801290222152</x:v>
      </x:c>
      <x:c r="F6" s="152" t="n">
        <x:f>'Operating Forecast'!F6</x:f>
        <x:v>0.052837850743644</x:v>
      </x:c>
      <x:c r="G6" s="152" t="n">
        <x:f>'Operating Forecast'!G6</x:f>
        <x:v>0.049024856797390104</x:v>
      </x:c>
    </x:row>
    <x:row r="7">
      <x:c r="A7" s="156" t="str">
        <x:v>CEBIT</x:v>
      </x:c>
      <x:c r="B7" s="158" t="n">
        <x:f>'Operating Forecast'!B19</x:f>
        <x:v>727.9000000000005</x:v>
      </x:c>
      <x:c r="C7" s="158" t="n">
        <x:f>'Operating Forecast'!C19</x:f>
        <x:v>704.3680767299993</x:v>
      </x:c>
      <x:c r="D7" s="158" t="n">
        <x:f>'Operating Forecast'!D19</x:f>
        <x:v>810.2444741107745</x:v>
      </x:c>
      <x:c r="E7" s="158" t="n">
        <x:f>'Operating Forecast'!E19</x:f>
        <x:v>871.9571581147975</x:v>
      </x:c>
      <x:c r="F7" s="158" t="n">
        <x:f>'Operating Forecast'!F19</x:f>
        <x:v>942.0616861615886</x:v>
      </x:c>
      <x:c r="G7" s="158" t="n">
        <x:f>'Operating Forecast'!G19</x:f>
        <x:v>1013.4564857623143</x:v>
      </x:c>
    </x:row>
    <x:row r="8">
      <x:c r="A8" t="str">
        <x:v>CEBIT margin</x:v>
      </x:c>
      <x:c r="B8" s="152" t="n">
        <x:f>'Operating Forecast'!B20</x:f>
        <x:v>0.17885399773944677</x:v>
      </x:c>
      <x:c r="C8" s="152" t="n">
        <x:f>'Operating Forecast'!C20</x:f>
        <x:v>0.1710707914383828</x:v>
      </x:c>
      <x:c r="D8" s="152" t="n">
        <x:f>'Operating Forecast'!D20</x:f>
        <x:v>0.1869999999999999</x:v>
      </x:c>
      <x:c r="E8" s="152" t="n">
        <x:f>'Operating Forecast'!E20</x:f>
        <x:v>0.19099999999999992</x:v>
      </x:c>
      <x:c r="F8" s="152" t="n">
        <x:f>'Operating Forecast'!F20</x:f>
        <x:v>0.196</x:v>
      </x:c>
      <x:c r="G8" s="152" t="n">
        <x:f>'Operating Forecast'!G20</x:f>
        <x:v>0.20099999999999998</x:v>
      </x:c>
    </x:row>
    <x:row r="9">
      <x:c r="A9" t="str">
        <x:v>EBITDA</x:v>
      </x:c>
      <x:c r="B9" s="154" t="n">
        <x:f>'Operating Forecast'!B36</x:f>
        <x:v>959.7</x:v>
      </x:c>
      <x:c r="C9" s="154" t="n">
        <x:f>'Operating Forecast'!C36</x:f>
        <x:v>959.6473116599993</x:v>
      </x:c>
      <x:c r="D9" s="154" t="n">
        <x:f>'Operating Forecast'!D36</x:f>
        <x:v>1070.2159631302745</x:v>
      </x:c>
      <x:c r="E9" s="154" t="n">
        <x:f>'Operating Forecast'!E36</x:f>
        <x:v>1136.7399600554168</x:v>
      </x:c>
      <x:c r="F9" s="154" t="n">
        <x:f>'Operating Forecast'!F36</x:f>
        <x:v>1211.2221679220424</x:v>
      </x:c>
      <x:c r="G9" s="154" t="n">
        <x:f>'Operating Forecast'!G36</x:f>
        <x:v>1290.7704495281218</x:v>
      </x:c>
    </x:row>
    <x:row r="10">
      <x:c r="A10" s="156" t="str">
        <x:v>Net income, group share</x:v>
      </x:c>
      <x:c r="B10" s="158" t="n">
        <x:f>'Operating Forecast'!B30</x:f>
        <x:v>397.5000000000006</x:v>
      </x:c>
      <x:c r="C10" s="158" t="n">
        <x:f>'Operating Forecast'!C30</x:f>
        <x:v>509.7197383147995</x:v>
      </x:c>
      <x:c r="D10" s="158" t="n">
        <x:f>'Operating Forecast'!D30</x:f>
        <x:v>590.0845779536347</x:v>
      </x:c>
      <x:c r="E10" s="158" t="n">
        <x:f>'Operating Forecast'!E30</x:f>
        <x:v>640.4526543766722</x:v>
      </x:c>
      <x:c r="F10" s="158" t="n">
        <x:f>'Operating Forecast'!F30</x:f>
        <x:v>697.1565730519994</x:v>
      </x:c>
      <x:c r="G10" s="158" t="n">
        <x:f>'Operating Forecast'!G30</x:f>
        <x:v>754.8346467505473</x:v>
      </x:c>
    </x:row>
    <x:row r="11">
      <x:c r="A11" t="str">
        <x:v>Diluted EPS</x:v>
      </x:c>
      <x:c r="B11" s="164" t="n">
        <x:f>'Operating Forecast'!B33</x:f>
        <x:v>3.34</x:v>
      </x:c>
      <x:c r="C11" s="164" t="n">
        <x:f>'Operating Forecast'!C33</x:f>
        <x:v>4.283359145502517</x:v>
      </x:c>
      <x:c r="D11" s="164" t="n">
        <x:f>'Operating Forecast'!D33</x:f>
        <x:v>4.958693932383485</x:v>
      </x:c>
      <x:c r="E11" s="164" t="n">
        <x:f>'Operating Forecast'!E33</x:f>
        <x:v>5.381955078795564</x:v>
      </x:c>
      <x:c r="F11" s="164" t="n">
        <x:f>'Operating Forecast'!F33</x:f>
        <x:v>5.858458597075625</x:v>
      </x:c>
      <x:c r="G11" s="164" t="n">
        <x:f>'Operating Forecast'!G33</x:f>
        <x:v>6.343148292021406</x:v>
      </x:c>
    </x:row>
    <x:row r="12">
      <x:c r="A12" s="156" t="str">
        <x:v>Unlevered FCF</x:v>
      </x:c>
      <x:c r="B12" s="158" t="n">
        <x:f>'Forecast Cash Flow'!B13</x:f>
        <x:v>502.12572298325705</x:v>
      </x:c>
      <x:c r="C12" s="158" t="n">
        <x:f>'Forecast Cash Flow'!C13</x:f>
        <x:v>460.6413320247996</x:v>
      </x:c>
      <x:c r="D12" s="158" t="n">
        <x:f>'Forecast Cash Flow'!D13</x:f>
        <x:v>458.67079437938474</x:v>
      </x:c>
      <x:c r="E12" s="158" t="n">
        <x:f>'Forecast Cash Flow'!E13</x:f>
        <x:v>487.186275232815</x:v>
      </x:c>
      <x:c r="F12" s="158" t="n">
        <x:f>'Forecast Cash Flow'!F13</x:f>
        <x:v>542.3162450084553</x:v>
      </x:c>
      <x:c r="G12" s="158" t="n">
        <x:f>'Forecast Cash Flow'!G13</x:f>
        <x:v>613.1372770324955</x:v>
      </x:c>
    </x:row>
    <x:row r="13">
      <x:c r="A13" t="str">
        <x:v>UFCF margin</x:v>
      </x:c>
      <x:c r="B13" s="152" t="n">
        <x:f>'Forecast Cash Flow'!B14</x:f>
        <x:v>0.12337847633378962</x:v>
      </x:c>
      <x:c r="C13" s="152" t="n">
        <x:f>'Forecast Cash Flow'!C14</x:f>
        <x:v>0.1118765597733358</x:v>
      </x:c>
      <x:c r="D13" s="152" t="n">
        <x:f>'Forecast Cash Flow'!D14</x:f>
        <x:v>0.10585871460965798</x:v>
      </x:c>
      <x:c r="E13" s="152" t="n">
        <x:f>'Forecast Cash Flow'!E14</x:f>
        <x:v>0.10671691573775324</x:v>
      </x:c>
      <x:c r="F13" s="152" t="n">
        <x:f>'Forecast Cash Flow'!F14</x:f>
        <x:v>0.11283123555820421</x:v>
      </x:c>
      <x:c r="G13" s="152" t="n">
        <x:f>'Forecast Cash Flow'!G14</x:f>
        <x:v>0.12160422713248605</x:v>
      </x:c>
    </x:row>
    <x:row r="16" ht="21" customHeight="1">
      <x:c r="A16" s="138" t="str">
        <x:v>Key forecast conclusions</x:v>
      </x:c>
      <x:c r="B16" s="138"/>
      <x:c r="C16" s="138"/>
      <x:c r="D16" s="138"/>
      <x:c r="E16" s="138"/>
      <x:c r="F16" s="138"/>
      <x:c r="G16" s="138"/>
    </x:row>
    <x:row r="17" ht="31" customHeight="1">
      <x:c r="A17" s="140" t="str">
        <x:v>2026 growth</x:v>
      </x:c>
      <x:c r="B17" s="180" t="str">
        <x:v>Base-case organic growth is around the middle of the confirmed 3%–5% range; reported revenue is lower after a separate translation-FX assumption.</x:v>
      </x:c>
      <x:c r="C17" s="180"/>
      <x:c r="D17" s="180"/>
      <x:c r="E17" s="180"/>
      <x:c r="F17" s="180"/>
      <x:c r="G17" s="180"/>
    </x:row>
    <x:row r="18" ht="31" customHeight="1">
      <x:c r="A18" s="140" t="str">
        <x:v>2026 profitability</x:v>
      </x:c>
      <x:c r="B18" s="180" t="str">
        <x:v>The model uses a €45m CEBIT FX headwind, the midpoint of management's revised €40m–€50m range.</x:v>
      </x:c>
      <x:c r="C18" s="180"/>
      <x:c r="D18" s="180"/>
      <x:c r="E18" s="180"/>
      <x:c r="F18" s="180"/>
      <x:c r="G18" s="180"/>
    </x:row>
    <x:row r="19" ht="31" customHeight="1">
      <x:c r="A19" s="140" t="str">
        <x:v>2027–2028 outlook</x:v>
      </x:c>
      <x:c r="B19" s="180" t="str">
        <x:v>Revenue assumptions are calibrated within the revised 3%–6% annual organic-growth ambition, with CEBIT growing faster than sales.</x:v>
      </x:c>
      <x:c r="C19" s="180"/>
      <x:c r="D19" s="180"/>
      <x:c r="E19" s="180"/>
      <x:c r="F19" s="180"/>
      <x:c r="G19" s="180"/>
    </x:row>
    <x:row r="20" ht="31" customHeight="1">
      <x:c r="A20" s="140" t="str">
        <x:v>Capital intensity</x:v>
      </x:c>
      <x:c r="B20" s="180" t="str">
        <x:v>FY2026 capex is set at approximately 8% of sales in line with company guidance, remaining elevated through 2028 before normalising.</x:v>
      </x:c>
      <x:c r="C20" s="180"/>
      <x:c r="D20" s="180"/>
      <x:c r="E20" s="180"/>
      <x:c r="F20" s="180"/>
      <x:c r="G20" s="180"/>
    </x:row>
    <x:row r="21" ht="31" customHeight="1">
      <x:c r="A21" s="140" t="str">
        <x:v>H1 update</x:v>
      </x:c>
      <x:c r="B21" s="180" t="str">
        <x:v>H1 2026 actuals—€1,965m sales, €313m CEBIT and €299m free cash flow—are now incorporated into the forecast rationale.</x:v>
      </x:c>
      <x:c r="C21" s="180"/>
      <x:c r="D21" s="180"/>
      <x:c r="E21" s="180"/>
      <x:c r="F21" s="180"/>
      <x:c r="G21" s="180"/>
    </x:row>
    <x:row r="24">
      <x:c r="I24" t="str">
        <x:v>Metric</x:v>
      </x:c>
      <x:c r="J24" t="str">
        <x:v>FY2025A</x:v>
      </x:c>
      <x:c r="K24" t="str">
        <x:v>FY2026E</x:v>
      </x:c>
      <x:c r="L24" t="str">
        <x:v>FY2027E</x:v>
      </x:c>
      <x:c r="M24" t="str">
        <x:v>FY2028E</x:v>
      </x:c>
      <x:c r="N24" t="str">
        <x:v>FY2029E</x:v>
      </x:c>
      <x:c r="O24" t="str">
        <x:v>FY2030E</x:v>
      </x:c>
      <x:c r="P24" t="str">
        <x:v>Year</x:v>
      </x:c>
      <x:c r="Q24" t="str">
        <x:v>Revenue</x:v>
      </x:c>
      <x:c r="R24" t="str">
        <x:v>CEBIT</x:v>
      </x:c>
      <x:c r="T24" t="str">
        <x:v>Year</x:v>
      </x:c>
      <x:c r="U24" t="str">
        <x:v>CEBIT margin</x:v>
      </x:c>
    </x:row>
    <x:row r="25">
      <x:c r="I25" t="str">
        <x:v>Revenue</x:v>
      </x:c>
      <x:c r="J25" s="146" t="n">
        <x:f>B5</x:f>
        <x:v>4069.8</x:v>
      </x:c>
      <x:c r="K25" s="146" t="n">
        <x:f>C5</x:f>
        <x:v>4117.407015</x:v>
      </x:c>
      <x:c r="L25" s="146" t="n">
        <x:f>D5</x:f>
        <x:v>4332.858150325</x:v>
      </x:c>
      <x:c r="M25" s="146" t="n">
        <x:f>E5</x:f>
        <x:v>4565.220723114125</x:v>
      </x:c>
      <x:c r="N25" s="146" t="n">
        <x:f>F5</x:f>
        <x:v>4806.437174293819</x:v>
      </x:c>
      <x:c r="O25" s="146" t="n">
        <x:f>G5</x:f>
        <x:v>5042.072068469226</x:v>
      </x:c>
      <x:c r="P25" t="str">
        <x:v>FY2025A</x:v>
      </x:c>
      <x:c r="Q25" s="146" t="n">
        <x:f>B5</x:f>
        <x:v>4069.8</x:v>
      </x:c>
      <x:c r="R25" s="146" t="n">
        <x:f>B7</x:f>
        <x:v>727.9000000000005</x:v>
      </x:c>
      <x:c r="T25" t="str">
        <x:v>FY2025A</x:v>
      </x:c>
      <x:c r="U25" s="142" t="n">
        <x:f>B8</x:f>
        <x:v>0.17885399773944677</x:v>
      </x:c>
    </x:row>
    <x:row r="26">
      <x:c r="I26" t="str">
        <x:v>CEBIT</x:v>
      </x:c>
      <x:c r="J26" s="146" t="n">
        <x:f>B7</x:f>
        <x:v>727.9000000000005</x:v>
      </x:c>
      <x:c r="K26" s="146" t="n">
        <x:f>C7</x:f>
        <x:v>704.3680767299993</x:v>
      </x:c>
      <x:c r="L26" s="146" t="n">
        <x:f>D7</x:f>
        <x:v>810.2444741107745</x:v>
      </x:c>
      <x:c r="M26" s="146" t="n">
        <x:f>E7</x:f>
        <x:v>871.9571581147975</x:v>
      </x:c>
      <x:c r="N26" s="146" t="n">
        <x:f>F7</x:f>
        <x:v>942.0616861615886</x:v>
      </x:c>
      <x:c r="O26" s="146" t="n">
        <x:f>G7</x:f>
        <x:v>1013.4564857623143</x:v>
      </x:c>
      <x:c r="P26" t="str">
        <x:v>FY2026E</x:v>
      </x:c>
      <x:c r="Q26" s="146" t="n">
        <x:f>C5</x:f>
        <x:v>4117.407015</x:v>
      </x:c>
      <x:c r="R26" s="146" t="n">
        <x:f>C7</x:f>
        <x:v>704.3680767299993</x:v>
      </x:c>
      <x:c r="T26" t="str">
        <x:v>FY2026E</x:v>
      </x:c>
      <x:c r="U26" s="142" t="n">
        <x:f>C8</x:f>
        <x:v>0.1710707914383828</x:v>
      </x:c>
    </x:row>
    <x:row r="27">
      <x:c r="I27" t="str">
        <x:v>CEBIT margin</x:v>
      </x:c>
      <x:c r="J27" s="142" t="n">
        <x:f>B8</x:f>
        <x:v>0.17885399773944677</x:v>
      </x:c>
      <x:c r="K27" s="142" t="n">
        <x:f>C8</x:f>
        <x:v>0.1710707914383828</x:v>
      </x:c>
      <x:c r="L27" s="142" t="n">
        <x:f>D8</x:f>
        <x:v>0.1869999999999999</x:v>
      </x:c>
      <x:c r="M27" s="142" t="n">
        <x:f>E8</x:f>
        <x:v>0.19099999999999992</x:v>
      </x:c>
      <x:c r="N27" s="142" t="n">
        <x:f>F8</x:f>
        <x:v>0.196</x:v>
      </x:c>
      <x:c r="O27" s="142" t="n">
        <x:f>G8</x:f>
        <x:v>0.20099999999999998</x:v>
      </x:c>
      <x:c r="P27" t="str">
        <x:v>FY2027E</x:v>
      </x:c>
      <x:c r="Q27" s="146" t="n">
        <x:f>D5</x:f>
        <x:v>4332.858150325</x:v>
      </x:c>
      <x:c r="R27" s="146" t="n">
        <x:f>D7</x:f>
        <x:v>810.2444741107745</x:v>
      </x:c>
      <x:c r="T27" t="str">
        <x:v>FY2027E</x:v>
      </x:c>
      <x:c r="U27" s="142" t="n">
        <x:f>D8</x:f>
        <x:v>0.1869999999999999</x:v>
      </x:c>
    </x:row>
    <x:row r="28">
      <x:c r="P28" t="str">
        <x:v>FY2028E</x:v>
      </x:c>
      <x:c r="Q28" s="146" t="n">
        <x:f>E5</x:f>
        <x:v>4565.220723114125</x:v>
      </x:c>
      <x:c r="R28" s="146" t="n">
        <x:f>E7</x:f>
        <x:v>871.9571581147975</x:v>
      </x:c>
      <x:c r="T28" t="str">
        <x:v>FY2028E</x:v>
      </x:c>
      <x:c r="U28" s="142" t="n">
        <x:f>E8</x:f>
        <x:v>0.19099999999999992</x:v>
      </x:c>
    </x:row>
    <x:row r="29">
      <x:c r="P29" t="str">
        <x:v>FY2029E</x:v>
      </x:c>
      <x:c r="Q29" s="146" t="n">
        <x:f>F5</x:f>
        <x:v>4806.437174293819</x:v>
      </x:c>
      <x:c r="R29" s="146" t="n">
        <x:f>F7</x:f>
        <x:v>942.0616861615886</x:v>
      </x:c>
      <x:c r="T29" t="str">
        <x:v>FY2029E</x:v>
      </x:c>
      <x:c r="U29" s="142" t="n">
        <x:f>F8</x:f>
        <x:v>0.196</x:v>
      </x:c>
    </x:row>
    <x:row r="30">
      <x:c r="P30" t="str">
        <x:v>FY2030E</x:v>
      </x:c>
      <x:c r="Q30" s="146" t="n">
        <x:f>G5</x:f>
        <x:v>5042.072068469226</x:v>
      </x:c>
      <x:c r="R30" s="146" t="n">
        <x:f>G7</x:f>
        <x:v>1013.4564857623143</x:v>
      </x:c>
      <x:c r="T30" t="str">
        <x:v>FY2030E</x:v>
      </x:c>
      <x:c r="U30" s="142" t="n">
        <x:f>G8</x:f>
        <x:v>0.20099999999999998</x:v>
      </x:c>
    </x:row>
  </x:sheetData>
  <x:mergeCells>
    <x:mergeCell ref="B17:G17"/>
    <x:mergeCell ref="B18:G18"/>
    <x:mergeCell ref="B19:G19"/>
    <x:mergeCell ref="B20:G20"/>
    <x:mergeCell ref="B21:G21"/>
  </x:mergeCells>
  <x:pageMargins left="0.7" right="0.7" top="0.75" bottom="0.75" header="0.3" footer="0.3"/>
  <x:drawing xmlns:r="http://schemas.openxmlformats.org/officeDocument/2006/relationships" r:id="R4f77e92a19344415"/>
</x:worksheet>
</file>

<file path=xl/worksheets/sheet13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5" hidden="0" customWidth="1"/>
    <x:col min="3" max="3" width="43" hidden="0" customWidth="1"/>
    <x:col min="4" max="4" width="57" hidden="0" customWidth="1"/>
  </x:cols>
  <x:sheetData>
    <x:row r="1">
      <x:c r="A1" s="120" t="str">
        <x:v>bioMérieux — WACC</x:v>
      </x:c>
    </x:row>
    <x:row r="2">
      <x:c r="A2" s="122" t="str">
        <x:v>Valuation date: 19 August 2026 | € millions unless otherwise stated</x:v>
      </x:c>
    </x:row>
    <x:row r="4" ht="21" customHeight="1">
      <x:c r="A4" s="208" t="str">
        <x:v>Market value and capital structure</x:v>
      </x:c>
      <x:c r="B4" s="208"/>
      <x:c r="C4" s="208"/>
      <x:c r="D4" s="208"/>
    </x:row>
    <x:row r="5" ht="22" customHeight="1">
      <x:c r="A5" s="222" t="str">
        <x:v>Input</x:v>
      </x:c>
      <x:c r="B5" s="222" t="str">
        <x:v>Value</x:v>
      </x:c>
      <x:c r="C5" s="223" t="str">
        <x:v>Method / note</x:v>
      </x:c>
      <x:c r="D5" s="223" t="str">
        <x:v>Source</x:v>
      </x:c>
    </x:row>
    <x:row r="6">
      <x:c r="A6" s="224" t="str">
        <x:v>Current share price</x:v>
      </x:c>
      <x:c r="B6" s="225" t="n">
        <x:v>73.2</x:v>
      </x:c>
      <x:c r="C6" s="226" t="str">
        <x:v>Euronext Paris (BIM), current at valuation date</x:v>
      </x:c>
      <x:c r="D6" s="226" t="str">
        <x:v>https://www.boursorama.com/cours/1rPBIM/</x:v>
      </x:c>
    </x:row>
    <x:row r="7">
      <x:c r="A7" s="224" t="str">
        <x:v>Basic shares outstanding (m)</x:v>
      </x:c>
      <x:c r="B7" s="227" t="n">
        <x:v>118.36122</x:v>
      </x:c>
      <x:c r="C7" s="226" t="str">
        <x:v>Issued shares at 30 Jun 2026</x:v>
      </x:c>
      <x:c r="D7" s="226" t="str">
        <x:v>bioMérieux Half-Year Financial Report 2026, p. 28</x:v>
      </x:c>
    </x:row>
    <x:row r="8">
      <x:c r="A8" s="224" t="str">
        <x:v>Equity market value</x:v>
      </x:c>
      <x:c r="B8" s="228" t="n">
        <x:f>B6*B7</x:f>
        <x:v>8664.041304</x:v>
      </x:c>
      <x:c r="C8" s="226" t="str">
        <x:v>Share price × basic shares</x:v>
      </x:c>
      <x:c r="D8" s="226" t="str">
        <x:v>Calculated</x:v>
      </x:c>
    </x:row>
    <x:row r="9">
      <x:c r="A9" s="224" t="str">
        <x:v>Gross interest-bearing debt</x:v>
      </x:c>
      <x:c r="B9" s="229" t="n">
        <x:v>418.9</x:v>
      </x:c>
      <x:c r="C9" s="226" t="str">
        <x:v>Total borrowings at 30 Jun 2026, including lease liabilities</x:v>
      </x:c>
      <x:c r="D9" s="226" t="str">
        <x:v>bioMérieux Half-Year Financial Report 2026, pp. 36–38</x:v>
      </x:c>
    </x:row>
    <x:row r="10">
      <x:c r="A10" s="224" t="str">
        <x:v>Long-term tax rate</x:v>
      </x:c>
      <x:c r="B10" s="230" t="n">
        <x:v>0.245</x:v>
      </x:c>
      <x:c r="C10" s="226" t="str">
        <x:v>Normalised rate used in the forecast</x:v>
      </x:c>
      <x:c r="D10" s="226" t="str">
        <x:v>Forecast Assumptions</x:v>
      </x:c>
    </x:row>
    <x:row r="11">
      <x:c r="A11" s="224"/>
      <x:c r="B11" s="224"/>
      <x:c r="C11" s="226"/>
      <x:c r="D11" s="226"/>
    </x:row>
    <x:row r="12" ht="21" customHeight="1">
      <x:c r="A12" s="231" t="str">
        <x:v>Cost of equity — CAPM</x:v>
      </x:c>
      <x:c r="B12" s="231"/>
      <x:c r="C12" s="232"/>
      <x:c r="D12" s="232"/>
    </x:row>
    <x:row r="13" ht="22" customHeight="1">
      <x:c r="A13" s="222" t="str">
        <x:v>Input</x:v>
      </x:c>
      <x:c r="B13" s="222" t="str">
        <x:v>Value</x:v>
      </x:c>
      <x:c r="C13" s="223" t="str">
        <x:v>Method / note</x:v>
      </x:c>
      <x:c r="D13" s="223" t="str">
        <x:v>Source</x:v>
      </x:c>
    </x:row>
    <x:row r="14">
      <x:c r="A14" s="224" t="str">
        <x:v>Euro risk-free rate</x:v>
      </x:c>
      <x:c r="B14" s="230" t="n">
        <x:v>0.0326</x:v>
      </x:c>
      <x:c r="C14" s="226" t="str">
        <x:v>10-year German Bund reopening average yield on 19 Aug 2026</x:v>
      </x:c>
      <x:c r="D14" s="226" t="str">
        <x:v>https://www.deutsche-finanzagentur.de/en/federal-securities/issuances/issuance-results</x:v>
      </x:c>
    </x:row>
    <x:row r="15">
      <x:c r="A15" s="224" t="str">
        <x:v>Mature-market equity risk premium</x:v>
      </x:c>
      <x:c r="B15" s="230" t="n">
        <x:v>0.0418</x:v>
      </x:c>
      <x:c r="C15" s="226" t="str">
        <x:v>Implied ERP as of 1 Jul 2026</x:v>
      </x:c>
      <x:c r="D15" s="226" t="str">
        <x:v>https://pages.stern.nyu.edu/~adamodar/New_Home_Page/home.htm</x:v>
      </x:c>
    </x:row>
    <x:row r="16">
      <x:c r="A16" s="224" t="str">
        <x:v>Healthcare Products unlevered beta</x:v>
      </x:c>
      <x:c r="B16" s="233" t="n">
        <x:v>0.88</x:v>
      </x:c>
      <x:c r="C16" s="226" t="str">
        <x:v>Europe sector beta dataset</x:v>
      </x:c>
      <x:c r="D16" s="226" t="str">
        <x:v>https://pages.stern.nyu.edu/~adamodar/New_Home_Page/datafile/betas1.htm</x:v>
      </x:c>
    </x:row>
    <x:row r="17">
      <x:c r="A17" s="224" t="str">
        <x:v>Relevered beta</x:v>
      </x:c>
      <x:c r="B17" s="234" t="n">
        <x:f>B16*(1+(1-B10)*(B9/B8))</x:f>
        <x:v>0.9121232494438257</x:v>
      </x:c>
      <x:c r="C17" s="226" t="str">
        <x:v>βL = βU × [1 + (1−T) × D/E]</x:v>
      </x:c>
      <x:c r="D17" s="226" t="str">
        <x:v>Calculated</x:v>
      </x:c>
    </x:row>
    <x:row r="18">
      <x:c r="A18" s="235" t="str">
        <x:v>Cost of equity</x:v>
      </x:c>
      <x:c r="B18" s="236" t="n">
        <x:f>B14+B17*B15</x:f>
        <x:v>0.07072675182675191</x:v>
      </x:c>
      <x:c r="C18" s="237" t="str">
        <x:v>Rf + βL × ERP</x:v>
      </x:c>
      <x:c r="D18" s="237" t="str">
        <x:v>Calculated</x:v>
      </x:c>
    </x:row>
    <x:row r="19">
      <x:c r="A19" s="224"/>
      <x:c r="B19" s="224"/>
      <x:c r="C19" s="226"/>
      <x:c r="D19" s="226"/>
    </x:row>
    <x:row r="20" ht="21" customHeight="1">
      <x:c r="A20" s="231" t="str">
        <x:v>Cost of debt</x:v>
      </x:c>
      <x:c r="B20" s="231"/>
      <x:c r="C20" s="232"/>
      <x:c r="D20" s="232"/>
    </x:row>
    <x:row r="21" ht="22" customHeight="1">
      <x:c r="A21" s="222" t="str">
        <x:v>Input</x:v>
      </x:c>
      <x:c r="B21" s="222" t="str">
        <x:v>Value</x:v>
      </x:c>
      <x:c r="C21" s="223" t="str">
        <x:v>Method / note</x:v>
      </x:c>
      <x:c r="D21" s="223" t="str">
        <x:v>Source</x:v>
      </x:c>
    </x:row>
    <x:row r="22">
      <x:c r="A22" s="224" t="str">
        <x:v>Gross debt at 31 Dec 2025</x:v>
      </x:c>
      <x:c r="B22" s="229" t="n">
        <x:v>456.7</x:v>
      </x:c>
      <x:c r="C22" s="226" t="str">
        <x:v>Opening gross borrowings</x:v>
      </x:c>
      <x:c r="D22" s="226" t="str">
        <x:v>bioMérieux Half-Year Financial Report 2026, pp. 36–37</x:v>
      </x:c>
    </x:row>
    <x:row r="23">
      <x:c r="A23" s="224" t="str">
        <x:v>Gross debt at 30 Jun 2026</x:v>
      </x:c>
      <x:c r="B23" s="229" t="n">
        <x:v>418.9</x:v>
      </x:c>
      <x:c r="C23" s="226" t="str">
        <x:v>Closing gross borrowings</x:v>
      </x:c>
      <x:c r="D23" s="226" t="str">
        <x:v>bioMérieux Half-Year Financial Report 2026, pp. 36–38</x:v>
      </x:c>
    </x:row>
    <x:row r="24">
      <x:c r="A24" s="224" t="str">
        <x:v>H1 interest on borrowings + leases</x:v>
      </x:c>
      <x:c r="B24" s="229" t="n">
        <x:v>7.7</x:v>
      </x:c>
      <x:c r="C24" s="226" t="str">
        <x:v>€4.5m borrowing interest + €3.2m lease interest</x:v>
      </x:c>
      <x:c r="D24" s="226" t="str">
        <x:v>bioMérieux Half-Year Financial Report 2026, p. 41</x:v>
      </x:c>
    </x:row>
    <x:row r="25">
      <x:c r="A25" s="224" t="str">
        <x:v>Pre-tax cost of debt</x:v>
      </x:c>
      <x:c r="B25" s="238" t="n">
        <x:f>(B24*2)/AVERAGE(B22:B23)</x:f>
        <x:v>0.03517587939698493</x:v>
      </x:c>
      <x:c r="C25" s="226" t="str">
        <x:v>Annualised H1 interest / average gross debt</x:v>
      </x:c>
      <x:c r="D25" s="226" t="str">
        <x:v>Calculated</x:v>
      </x:c>
    </x:row>
    <x:row r="26">
      <x:c r="A26" s="224"/>
      <x:c r="B26" s="224"/>
      <x:c r="C26" s="226"/>
      <x:c r="D26" s="226"/>
    </x:row>
    <x:row r="27" ht="21" customHeight="1">
      <x:c r="A27" s="231" t="str">
        <x:v>WACC calculation</x:v>
      </x:c>
      <x:c r="B27" s="231"/>
      <x:c r="C27" s="232"/>
      <x:c r="D27" s="232"/>
    </x:row>
    <x:row r="28" ht="22" customHeight="1">
      <x:c r="A28" s="222" t="str">
        <x:v>Metric</x:v>
      </x:c>
      <x:c r="B28" s="222" t="str">
        <x:v>Value</x:v>
      </x:c>
      <x:c r="C28" s="223" t="str">
        <x:v>Formula / note</x:v>
      </x:c>
      <x:c r="D28" s="223" t="str">
        <x:v>Source</x:v>
      </x:c>
    </x:row>
    <x:row r="29">
      <x:c r="A29" s="224" t="str">
        <x:v>Equity weight</x:v>
      </x:c>
      <x:c r="B29" s="238" t="n">
        <x:f>B8/(B8+B9)</x:f>
        <x:v>0.9538805783303342</x:v>
      </x:c>
      <x:c r="C29" s="226" t="str">
        <x:v>E / (D + E)</x:v>
      </x:c>
      <x:c r="D29" s="226" t="str">
        <x:v>Calculated</x:v>
      </x:c>
    </x:row>
    <x:row r="30">
      <x:c r="A30" s="224" t="str">
        <x:v>Debt weight</x:v>
      </x:c>
      <x:c r="B30" s="238" t="n">
        <x:f>B9/(B8+B9)</x:f>
        <x:v>0.04611942166966578</x:v>
      </x:c>
      <x:c r="C30" s="226" t="str">
        <x:v>D / (D + E)</x:v>
      </x:c>
      <x:c r="D30" s="226" t="str">
        <x:v>Calculated</x:v>
      </x:c>
    </x:row>
    <x:row r="31">
      <x:c r="A31" s="224" t="str">
        <x:v>After-tax cost of debt</x:v>
      </x:c>
      <x:c r="B31" s="238" t="n">
        <x:f>B25*(1-B10)</x:f>
        <x:v>0.026557788944723625</x:v>
      </x:c>
      <x:c r="C31" s="226" t="str">
        <x:v>Kd × (1−T)</x:v>
      </x:c>
      <x:c r="D31" s="226" t="str">
        <x:v>Calculated</x:v>
      </x:c>
    </x:row>
    <x:row r="32">
      <x:c r="A32" s="235" t="str">
        <x:v>Calculated WACC</x:v>
      </x:c>
      <x:c r="B32" s="236" t="n">
        <x:f>B29*B18+B30*B31</x:f>
        <x:v>0.06868970480288383</x:v>
      </x:c>
      <x:c r="C32" s="237" t="str">
        <x:v>We × Ke + Wd × Kd × (1−T)</x:v>
      </x:c>
      <x:c r="D32" s="237" t="str">
        <x:v>Calculated</x:v>
      </x:c>
    </x:row>
    <x:row r="33">
      <x:c r="A33" s="224" t="str">
        <x:v>Terminal growth rate</x:v>
      </x:c>
      <x:c r="B33" s="230" t="n">
        <x:v>0.025</x:v>
      </x:c>
      <x:c r="C33" s="226" t="str">
        <x:v>Base-case long-run nominal growth assumption</x:v>
      </x:c>
      <x:c r="D33" s="226" t="str">
        <x:v>Author assumption</x:v>
      </x:c>
    </x:row>
    <x:row r="34">
      <x:c r="A34" s="224" t="str">
        <x:v>Current share price</x:v>
      </x:c>
      <x:c r="B34" s="239" t="n">
        <x:f>B6</x:f>
        <x:v>73.2</x:v>
      </x:c>
      <x:c r="C34" s="226" t="str">
        <x:v>Linked to market input</x:v>
      </x:c>
      <x:c r="D34" s="226" t="str">
        <x:v>Calculated</x:v>
      </x:c>
    </x:row>
    <x:row r="35">
      <x:c r="A35" s="224"/>
      <x:c r="B35" s="224"/>
      <x:c r="C35" s="226"/>
      <x:c r="D35" s="226"/>
    </x:row>
    <x:row r="36">
      <x:c r="A36" s="240" t="str">
        <x:v>Note</x:v>
      </x:c>
      <x:c r="B36" s="240"/>
      <x:c r="C36" s="240" t="str">
        <x:v>The model uses the calculated WACC directly. The sensitivity analysis tests a wider range around the base case.</x:v>
      </x:c>
      <x:c r="D36" s="240" t="str">
        <x:v>Lease liabilities are already included in reported borrowings/net cash and are not deducted a second time in the EV-to-equity bridge.</x:v>
      </x:c>
    </x:row>
  </x:sheetData>
  <x:mergeCells>
    <x:mergeCell ref="A4:D4"/>
    <x:mergeCell ref="A12:D12"/>
    <x:mergeCell ref="A20:D20"/>
    <x:mergeCell ref="A27:D27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7" hidden="0" customWidth="1"/>
    <x:col min="3" max="3" width="56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120" t="str">
        <x:v>bioMérieux — Discounted Cash Flow Valuation</x:v>
      </x:c>
    </x:row>
    <x:row r="2">
      <x:c r="A2" s="122" t="str">
        <x:v>Valuation date: 19 August 2026 | Mid-year convention with a 2026 stub period</x:v>
      </x:c>
    </x:row>
    <x:row r="4" ht="21" customHeight="1">
      <x:c r="A4" s="208" t="str">
        <x:v>Valuation setup</x:v>
      </x:c>
      <x:c r="B4" s="208"/>
      <x:c r="C4" s="208"/>
      <x:c r="D4" s="208"/>
      <x:c r="E4" s="208"/>
      <x:c r="F4" s="208"/>
    </x:row>
    <x:row r="5" ht="22" customHeight="1">
      <x:c r="A5" s="209" t="str">
        <x:v>Input</x:v>
      </x:c>
      <x:c r="B5" s="209" t="str">
        <x:v>Value</x:v>
      </x:c>
      <x:c r="C5" s="219" t="str">
        <x:v>Source / note</x:v>
      </x:c>
    </x:row>
    <x:row r="6">
      <x:c r="A6" t="str">
        <x:v>Valuation date</x:v>
      </x:c>
      <x:c r="B6" s="242" t="n">
        <x:v>46253</x:v>
      </x:c>
      <x:c r="C6" s="33" t="str">
        <x:v>Model valuation date</x:v>
      </x:c>
    </x:row>
    <x:row r="7">
      <x:c r="A7" t="str">
        <x:v>FY2026 year-end</x:v>
      </x:c>
      <x:c r="B7" s="242" t="n">
        <x:v>46387</x:v>
      </x:c>
      <x:c r="C7" s="33" t="str">
        <x:v>Calendar year-end</x:v>
      </x:c>
    </x:row>
    <x:row r="8">
      <x:c r="A8" t="str">
        <x:v>H1 2026 end date</x:v>
      </x:c>
      <x:c r="B8" s="242" t="n">
        <x:v>46203</x:v>
      </x:c>
      <x:c r="C8" s="33" t="str">
        <x:v>Interim reporting date</x:v>
      </x:c>
    </x:row>
    <x:row r="9">
      <x:c r="A9" t="str">
        <x:v>Base WACC</x:v>
      </x:c>
      <x:c r="B9" s="243" t="n">
        <x:f>'WACC'!B32</x:f>
        <x:v>0.06868970480288383</x:v>
      </x:c>
      <x:c r="C9" s="33" t="str">
        <x:v>Linked from WACC calculation</x:v>
      </x:c>
    </x:row>
    <x:row r="10">
      <x:c r="A10" t="str">
        <x:v>Terminal growth rate</x:v>
      </x:c>
      <x:c r="B10" s="243" t="n">
        <x:f>'WACC'!B33</x:f>
        <x:v>0.025</x:v>
      </x:c>
      <x:c r="C10" s="33" t="str">
        <x:v>Linked from WACC base-case assumption</x:v>
      </x:c>
    </x:row>
    <x:row r="11">
      <x:c r="C11" s="33"/>
    </x:row>
    <x:row r="12" ht="21" customHeight="1">
      <x:c r="A12" s="208" t="str">
        <x:v>H1 2026 actual UFCF bridge and remaining-year stub</x:v>
      </x:c>
      <x:c r="B12" s="208"/>
      <x:c r="C12" s="220"/>
      <x:c r="D12" s="208"/>
      <x:c r="E12" s="208"/>
      <x:c r="F12" s="208"/>
    </x:row>
    <x:row r="13" ht="22" customHeight="1">
      <x:c r="A13" s="209" t="str">
        <x:v>Metric</x:v>
      </x:c>
      <x:c r="B13" s="209" t="str">
        <x:v>Value</x:v>
      </x:c>
      <x:c r="C13" s="219" t="str">
        <x:v>Source / formula</x:v>
      </x:c>
    </x:row>
    <x:row r="14">
      <x:c r="A14" t="str">
        <x:v>H1 contributive CEBIT</x:v>
      </x:c>
      <x:c r="B14" s="148" t="n">
        <x:v>313.3</x:v>
      </x:c>
      <x:c r="C14" s="33" t="str">
        <x:v>€299.1m operating income before NRI + €14.2m acquisition-related amortisation/costs</x:v>
      </x:c>
    </x:row>
    <x:row r="15">
      <x:c r="A15" t="str">
        <x:v>H1 effective tax rate</x:v>
      </x:c>
      <x:c r="B15" s="144" t="n">
        <x:v>0.234</x:v>
      </x:c>
      <x:c r="C15" s="33" t="str">
        <x:v>Half-Year Financial Report 2026, p. 43</x:v>
      </x:c>
    </x:row>
    <x:row r="16">
      <x:c r="A16" t="str">
        <x:v>H1 NOPAT</x:v>
      </x:c>
      <x:c r="B16" s="146" t="n">
        <x:f>B14*(1-B15)</x:f>
        <x:v>239.98780000000002</x:v>
      </x:c>
      <x:c r="C16" s="33" t="str">
        <x:v>CEBIT × (1−tax)</x:v>
      </x:c>
    </x:row>
    <x:row r="17">
      <x:c r="A17" t="str">
        <x:v>H1 D&amp;A</x:v>
      </x:c>
      <x:c r="B17" s="146" t="n">
        <x:f>440.3-B14</x:f>
        <x:v>127</x:v>
      </x:c>
      <x:c r="C17" s="33" t="str">
        <x:v>H1 EBITDA €440.3m − contributive CEBIT</x:v>
      </x:c>
    </x:row>
    <x:row r="18">
      <x:c r="A18" t="str">
        <x:v>H1 capex</x:v>
      </x:c>
      <x:c r="B18" s="148" t="n">
        <x:v>139.5</x:v>
      </x:c>
      <x:c r="C18" s="33" t="str">
        <x:v>Half-Year Financial Report 2026, pp. 10, 35</x:v>
      </x:c>
    </x:row>
    <x:row r="19">
      <x:c r="A19" t="str">
        <x:v>H1 change in operating NWC</x:v>
      </x:c>
      <x:c r="B19" s="148" t="n">
        <x:v>19.4</x:v>
      </x:c>
      <x:c r="C19" s="33" t="str">
        <x:v>Cash outflow; Half-Year Financial Report 2026, pp. 10, 34</x:v>
      </x:c>
    </x:row>
    <x:row r="20">
      <x:c r="A20" s="156" t="str">
        <x:v>H1 actual UFCF</x:v>
      </x:c>
      <x:c r="B20" s="158" t="n">
        <x:f>B16+B17-B18-B19</x:f>
        <x:v>208.0878</x:v>
      </x:c>
      <x:c r="C20" s="221" t="str">
        <x:v>NOPAT + D&amp;A − capex − ΔNWC</x:v>
      </x:c>
    </x:row>
    <x:row r="21">
      <x:c r="A21" t="str">
        <x:v>FY2026E full-year UFCF</x:v>
      </x:c>
      <x:c r="B21" s="154" t="n">
        <x:f>'Forecast Cash Flow'!C13</x:f>
        <x:v>460.6413320247996</x:v>
      </x:c>
      <x:c r="C21" s="33" t="str">
        <x:v>Linked from updated forecast</x:v>
      </x:c>
    </x:row>
    <x:row r="22">
      <x:c r="A22" t="str">
        <x:v>Implied H2 2026 UFCF</x:v>
      </x:c>
      <x:c r="B22" s="146" t="n">
        <x:f>B21-B20</x:f>
        <x:v>252.55353202479964</x:v>
      </x:c>
      <x:c r="C22" s="33" t="str">
        <x:v>Full-year forecast − H1 actual UFCF</x:v>
      </x:c>
    </x:row>
    <x:row r="23">
      <x:c r="A23" t="str">
        <x:v>Remaining H2 fraction</x:v>
      </x:c>
      <x:c r="B23" s="142" t="n">
        <x:f>(B7-B6)/(B7-B8)</x:f>
        <x:v>0.7282608695652174</x:v>
      </x:c>
      <x:c r="C23" s="33" t="str">
        <x:v>Days from valuation date to year-end / H2 days</x:v>
      </x:c>
    </x:row>
    <x:row r="24">
      <x:c r="A24" s="156" t="str">
        <x:v>Remaining 2026 stub UFCF</x:v>
      </x:c>
      <x:c r="B24" s="158" t="n">
        <x:f>B22*B23</x:f>
        <x:v>183.92485484414757</x:v>
      </x:c>
      <x:c r="C24" s="221" t="str">
        <x:v>Implied H2 UFCF × remaining H2 fraction</x:v>
      </x:c>
    </x:row>
    <x:row r="25">
      <x:c r="C25" s="33"/>
    </x:row>
    <x:row r="26" ht="21" customHeight="1">
      <x:c r="A26" s="208" t="str">
        <x:v>Forecast-period present value</x:v>
      </x:c>
      <x:c r="B26" s="208"/>
      <x:c r="C26" s="220"/>
      <x:c r="D26" s="208"/>
      <x:c r="E26" s="208"/>
      <x:c r="F26" s="208"/>
    </x:row>
    <x:row r="27" ht="22" customHeight="1">
      <x:c r="A27" s="209" t="str">
        <x:v>Metric</x:v>
      </x:c>
      <x:c r="B27" s="209" t="str">
        <x:v>2026 Stub</x:v>
      </x:c>
      <x:c r="C27" s="219" t="str">
        <x:v>FY2027E</x:v>
      </x:c>
      <x:c r="D27" s="209" t="str">
        <x:v>FY2028E</x:v>
      </x:c>
      <x:c r="E27" s="209" t="str">
        <x:v>FY2029E</x:v>
      </x:c>
      <x:c r="F27" s="209" t="str">
        <x:v>FY2030E</x:v>
      </x:c>
    </x:row>
    <x:row r="28">
      <x:c r="A28" t="str">
        <x:v>Cash flow date</x:v>
      </x:c>
      <x:c r="B28" s="241" t="n">
        <x:f>$B$6+($B$7-$B$6)/2</x:f>
        <x:v>46320</x:v>
      </x:c>
      <x:c r="C28" s="251" t="n">
        <x:v>46568</x:v>
      </x:c>
      <x:c r="D28" s="242" t="n">
        <x:v>46934</x:v>
      </x:c>
      <x:c r="E28" s="242" t="n">
        <x:v>47299</x:v>
      </x:c>
      <x:c r="F28" s="242" t="n">
        <x:v>47664</x:v>
      </x:c>
    </x:row>
    <x:row r="29">
      <x:c r="A29" t="str">
        <x:v>Discount period (years)</x:v>
      </x:c>
      <x:c r="B29" s="244" t="n">
        <x:f>(B28-$B$6)/365</x:f>
        <x:v>0.18356164383561643</x:v>
      </x:c>
      <x:c r="C29" s="252" t="n">
        <x:f>(C28-$B$6)/365</x:f>
        <x:v>0.863013698630137</x:v>
      </x:c>
      <x:c r="D29" s="244" t="n">
        <x:f>(D28-$B$6)/365</x:f>
        <x:v>1.8657534246575342</x:v>
      </x:c>
      <x:c r="E29" s="244" t="n">
        <x:f>(E28-$B$6)/365</x:f>
        <x:v>2.8657534246575342</x:v>
      </x:c>
      <x:c r="F29" s="244" t="n">
        <x:f>(F28-$B$6)/365</x:f>
        <x:v>3.8657534246575342</x:v>
      </x:c>
    </x:row>
    <x:row r="30">
      <x:c r="A30" t="str">
        <x:v>Unlevered free cash flow</x:v>
      </x:c>
      <x:c r="B30" s="146" t="n">
        <x:f>$B$24</x:f>
        <x:v>183.92485484414757</x:v>
      </x:c>
      <x:c r="C30" s="253" t="n">
        <x:f>'Forecast Cash Flow'!D13</x:f>
        <x:v>458.67079437938474</x:v>
      </x:c>
      <x:c r="D30" s="154" t="n">
        <x:f>'Forecast Cash Flow'!E13</x:f>
        <x:v>487.186275232815</x:v>
      </x:c>
      <x:c r="E30" s="154" t="n">
        <x:f>'Forecast Cash Flow'!F13</x:f>
        <x:v>542.3162450084553</x:v>
      </x:c>
      <x:c r="F30" s="154" t="n">
        <x:f>'Forecast Cash Flow'!G13</x:f>
        <x:v>613.1372770324955</x:v>
      </x:c>
    </x:row>
    <x:row r="31">
      <x:c r="A31" t="str">
        <x:v>Discount factor</x:v>
      </x:c>
      <x:c r="B31" s="245" t="n">
        <x:f>1/(1+$B$9)^B29</x:f>
        <x:v>0.9878794429381648</x:v>
      </x:c>
      <x:c r="C31" s="254" t="n">
        <x:f>1/(1+$B$9)^C29</x:f>
        <x:v>0.944279696650405</x:v>
      </x:c>
      <x:c r="D31" s="245" t="n">
        <x:f>1/(1+$B$9)^D29</x:f>
        <x:v>0.8834256010376701</x:v>
      </x:c>
      <x:c r="E31" s="245" t="n">
        <x:f>1/(1+$B$9)^E29</x:f>
        <x:v>0.8266436899947632</x:v>
      </x:c>
      <x:c r="F31" s="245" t="n">
        <x:f>1/(1+$B$9)^F29</x:f>
        <x:v>0.7735114189644364</x:v>
      </x:c>
    </x:row>
    <x:row r="32">
      <x:c r="A32" s="156" t="str">
        <x:v>Present value of UFCF</x:v>
      </x:c>
      <x:c r="B32" s="158" t="n">
        <x:f>B30*B31</x:f>
        <x:v>181.69558314591933</x:v>
      </x:c>
      <x:c r="C32" s="255" t="n">
        <x:f>C30*C31</x:f>
        <x:v>433.11351857896574</x:v>
      </x:c>
      <x:c r="D32" s="158" t="n">
        <x:f>D30*D31</x:f>
        <x:v>430.39282801485336</x:v>
      </x:c>
      <x:c r="E32" s="158" t="n">
        <x:f>E30*E31</x:f>
        <x:v>448.3023019178936</x:v>
      </x:c>
      <x:c r="F32" s="158" t="n">
        <x:f>F30*F31</x:f>
        <x:v>474.2686851773963</x:v>
      </x:c>
    </x:row>
    <x:row r="33">
      <x:c r="C33" s="33"/>
    </x:row>
    <x:row r="34" ht="21" customHeight="1">
      <x:c r="A34" s="208" t="str">
        <x:v>Terminal value — perpetual growth method</x:v>
      </x:c>
      <x:c r="B34" s="208"/>
      <x:c r="C34" s="220"/>
      <x:c r="D34" s="208"/>
      <x:c r="E34" s="208"/>
      <x:c r="F34" s="208"/>
    </x:row>
    <x:row r="35" ht="22" customHeight="1">
      <x:c r="A35" s="209" t="str">
        <x:v>Metric</x:v>
      </x:c>
      <x:c r="B35" s="209" t="str">
        <x:v>Value</x:v>
      </x:c>
      <x:c r="C35" s="219" t="str">
        <x:v>Formula / note</x:v>
      </x:c>
    </x:row>
    <x:row r="36">
      <x:c r="A36" t="str">
        <x:v>FY2030E UFCF</x:v>
      </x:c>
      <x:c r="B36" s="146" t="n">
        <x:f>F30</x:f>
        <x:v>613.1372770324955</x:v>
      </x:c>
      <x:c r="C36" s="33" t="str">
        <x:v>Linked from forecast period</x:v>
      </x:c>
    </x:row>
    <x:row r="37">
      <x:c r="A37" t="str">
        <x:v>Terminal growth rate</x:v>
      </x:c>
      <x:c r="B37" s="217" t="n">
        <x:f>$B$10</x:f>
        <x:v>0.025</x:v>
      </x:c>
      <x:c r="C37" s="33" t="str">
        <x:v>Base case</x:v>
      </x:c>
    </x:row>
    <x:row r="38">
      <x:c r="A38" t="str">
        <x:v>WACC</x:v>
      </x:c>
      <x:c r="B38" s="217" t="n">
        <x:f>$B$9</x:f>
        <x:v>0.06868970480288383</x:v>
      </x:c>
      <x:c r="C38" s="33" t="str">
        <x:v>Base case</x:v>
      </x:c>
    </x:row>
    <x:row r="39">
      <x:c r="A39" t="str">
        <x:v>Terminal value</x:v>
      </x:c>
      <x:c r="B39" s="146" t="n">
        <x:f>B36*(1+B37)/(B38-B37)</x:f>
        <x:v>14384.755213929131</x:v>
      </x:c>
      <x:c r="C39" s="33" t="str">
        <x:v>UFCF2030 × (1+g) / (WACC−g)</x:v>
      </x:c>
    </x:row>
    <x:row r="40">
      <x:c r="A40" t="str">
        <x:v>Terminal value date</x:v>
      </x:c>
      <x:c r="B40" s="242" t="n">
        <x:v>47848</x:v>
      </x:c>
      <x:c r="C40" s="33" t="str">
        <x:v>Year-end 2030</x:v>
      </x:c>
    </x:row>
    <x:row r="41">
      <x:c r="A41" t="str">
        <x:v>Terminal discount period</x:v>
      </x:c>
      <x:c r="B41" s="244" t="n">
        <x:f>(B40-$B$6)/365</x:f>
        <x:v>4.36986301369863</x:v>
      </x:c>
      <x:c r="C41" s="33" t="str">
        <x:v>Years from valuation date</x:v>
      </x:c>
    </x:row>
    <x:row r="42">
      <x:c r="A42" s="156" t="str">
        <x:v>Present value of terminal value</x:v>
      </x:c>
      <x:c r="B42" s="158" t="n">
        <x:f>B39/(1+B38)^B41</x:f>
        <x:v>10760.311009310575</x:v>
      </x:c>
      <x:c r="C42" s="221" t="str">
        <x:v>Terminal value × discount factor</x:v>
      </x:c>
    </x:row>
    <x:row r="43">
      <x:c r="C43" s="33"/>
    </x:row>
    <x:row r="44" ht="21" customHeight="1">
      <x:c r="A44" s="208" t="str">
        <x:v>Enterprise value</x:v>
      </x:c>
      <x:c r="B44" s="208"/>
      <x:c r="C44" s="220"/>
      <x:c r="D44" s="208"/>
      <x:c r="E44" s="208"/>
      <x:c r="F44" s="208"/>
    </x:row>
    <x:row r="45" ht="22" customHeight="1">
      <x:c r="A45" s="209" t="str">
        <x:v>Metric</x:v>
      </x:c>
      <x:c r="B45" s="209" t="str">
        <x:v>Value</x:v>
      </x:c>
      <x:c r="C45" s="219" t="str">
        <x:v>Formula / note</x:v>
      </x:c>
    </x:row>
    <x:row r="46">
      <x:c r="A46" t="str">
        <x:v>PV of forecast-period UFCF</x:v>
      </x:c>
      <x:c r="B46" s="146" t="n">
        <x:f>SUM(B32:F32)</x:f>
        <x:v>1967.7729168350284</x:v>
      </x:c>
      <x:c r="C46" s="33" t="str">
        <x:v>Sum of discounted 2026 stub through FY2030E</x:v>
      </x:c>
    </x:row>
    <x:row r="47">
      <x:c r="A47" t="str">
        <x:v>PV of terminal value</x:v>
      </x:c>
      <x:c r="B47" s="146" t="n">
        <x:f>B42</x:f>
        <x:v>10760.311009310575</x:v>
      </x:c>
      <x:c r="C47" s="33" t="str">
        <x:v>Linked from terminal value section</x:v>
      </x:c>
    </x:row>
    <x:row r="48">
      <x:c r="A48" s="156" t="str">
        <x:v>Enterprise value</x:v>
      </x:c>
      <x:c r="B48" s="158" t="n">
        <x:f>SUM(B46:B47)</x:f>
        <x:v>12728.083926145604</x:v>
      </x:c>
      <x:c r="C48" s="221" t="str">
        <x:v>PV forecast UFCF + PV terminal value</x:v>
      </x:c>
    </x:row>
    <x:row r="49">
      <x:c r="A49" t="str">
        <x:v>Terminal value contribution</x:v>
      </x:c>
      <x:c r="B49" s="142" t="n">
        <x:f>B47/B48</x:f>
        <x:v>0.8453991246244931</x:v>
      </x:c>
      <x:c r="C49" s="33" t="str">
        <x:v>PV terminal value / enterprise value</x:v>
      </x:c>
    </x:row>
    <x:row r="50">
      <x:c r="C50" s="33"/>
    </x:row>
    <x:row r="51" ht="21" customHeight="1">
      <x:c r="A51" s="208" t="str">
        <x:v>Enterprise value to equity value bridge</x:v>
      </x:c>
      <x:c r="B51" s="208"/>
      <x:c r="C51" s="220"/>
      <x:c r="D51" s="208"/>
      <x:c r="E51" s="208"/>
      <x:c r="F51" s="208"/>
    </x:row>
    <x:row r="52" ht="22" customHeight="1">
      <x:c r="A52" s="209" t="str">
        <x:v>Metric</x:v>
      </x:c>
      <x:c r="B52" s="209" t="str">
        <x:v>Value</x:v>
      </x:c>
      <x:c r="C52" s="219" t="str">
        <x:v>Source / note</x:v>
      </x:c>
    </x:row>
    <x:row r="53">
      <x:c r="A53" t="str">
        <x:v>Enterprise value</x:v>
      </x:c>
      <x:c r="B53" s="146" t="n">
        <x:f>B48</x:f>
        <x:v>12728.083926145604</x:v>
      </x:c>
      <x:c r="C53" s="33" t="str">
        <x:v>Linked from DCF</x:v>
      </x:c>
    </x:row>
    <x:row r="54">
      <x:c r="A54" t="str">
        <x:v>Add: net cash</x:v>
      </x:c>
      <x:c r="B54" s="148" t="n">
        <x:v>235.9</x:v>
      </x:c>
      <x:c r="C54" s="33" t="str">
        <x:v>Reported net cash at 30 Jun 2026; includes lease liabilities</x:v>
      </x:c>
    </x:row>
    <x:row r="55">
      <x:c r="A55" t="str">
        <x:v>Add: non-operating equity investments</x:v>
      </x:c>
      <x:c r="B55" s="148" t="n">
        <x:v>111.6</x:v>
      </x:c>
      <x:c r="C55" s="33" t="str">
        <x:v>Non-consolidated equity securities at 30 Jun 2026</x:v>
      </x:c>
    </x:row>
    <x:row r="56">
      <x:c r="A56" t="str">
        <x:v>Add: investments in associates</x:v>
      </x:c>
      <x:c r="B56" s="148" t="n">
        <x:v>0.7</x:v>
      </x:c>
      <x:c r="C56" s="33" t="str">
        <x:v>Balance sheet at 30 Jun 2026</x:v>
      </x:c>
    </x:row>
    <x:row r="57">
      <x:c r="A57" t="str">
        <x:v>Less: post-employment / employee benefit obligation</x:v>
      </x:c>
      <x:c r="B57" s="148" t="n">
        <x:v>-43.6</x:v>
      </x:c>
      <x:c r="C57" s="33" t="str">
        <x:v>Debt-like obligation at 30 Jun 2026</x:v>
      </x:c>
    </x:row>
    <x:row r="58">
      <x:c r="A58" t="str">
        <x:v>Less: minority interests</x:v>
      </x:c>
      <x:c r="B58" s="148" t="n">
        <x:v>-2.1</x:v>
      </x:c>
      <x:c r="C58" s="33" t="str">
        <x:v>Minority interests at 30 Jun 2026</x:v>
      </x:c>
    </x:row>
    <x:row r="59">
      <x:c r="A59" s="156" t="str">
        <x:v>Total bridge adjustments</x:v>
      </x:c>
      <x:c r="B59" s="158" t="n">
        <x:f>SUM(B54:B58)</x:f>
        <x:v>302.49999999999994</x:v>
      </x:c>
      <x:c r="C59" s="221" t="str">
        <x:v>Sum of bridge items</x:v>
      </x:c>
    </x:row>
    <x:row r="60">
      <x:c r="A60" s="246" t="str">
        <x:v>Equity value</x:v>
      </x:c>
      <x:c r="B60" s="247" t="n">
        <x:f>B53+B59</x:f>
        <x:v>13030.583926145604</x:v>
      </x:c>
      <x:c r="C60" s="256" t="str">
        <x:v>Enterprise value + bridge adjustments</x:v>
      </x:c>
    </x:row>
    <x:row r="61">
      <x:c r="A61" t="str">
        <x:v>Diluted shares outstanding (m)</x:v>
      </x:c>
      <x:c r="B61" s="212" t="n">
        <x:v>118.367848</x:v>
      </x:c>
      <x:c r="C61" s="33" t="str">
        <x:v>Diluted share count at 30 Jun 2026</x:v>
      </x:c>
    </x:row>
    <x:row r="62">
      <x:c r="A62" s="156" t="str">
        <x:v>Implied value per share</x:v>
      </x:c>
      <x:c r="B62" s="249" t="n">
        <x:f>B60/B61</x:f>
        <x:v>110.08550164860313</x:v>
      </x:c>
      <x:c r="C62" s="221" t="str">
        <x:v>Equity value / diluted shares</x:v>
      </x:c>
    </x:row>
    <x:row r="63">
      <x:c r="C63" s="33"/>
    </x:row>
    <x:row r="64">
      <x:c r="A64" t="str">
        <x:v>Current share price</x:v>
      </x:c>
      <x:c r="B64" s="164" t="n">
        <x:f>'WACC'!B34</x:f>
        <x:v>73.2</x:v>
      </x:c>
      <x:c r="C64" s="33" t="str">
        <x:v>Linked from WACC sheet</x:v>
      </x:c>
    </x:row>
    <x:row r="65">
      <x:c r="A65" t="str">
        <x:v>Upside / (downside)</x:v>
      </x:c>
      <x:c r="B65" s="142" t="n">
        <x:f>B62/B64-1</x:f>
        <x:v>0.5039002957459444</x:v>
      </x:c>
      <x:c r="C65" s="33" t="str">
        <x:v>Implied value / current price − 1</x:v>
      </x:c>
    </x:row>
    <x:row r="66">
      <x:c r="A66" t="str">
        <x:v>Check: WACC &gt; terminal growth</x:v>
      </x:c>
      <x:c r="B66" s="250" t="str">
        <x:f>IF(B9&gt;B10,"OK","CHECK")</x:f>
        <x:v>OK</x:v>
      </x:c>
      <x:c r="C66" s="33" t="str">
        <x:v>Required for perpetual-growth formula</x:v>
      </x:c>
    </x:row>
    <x:row r="67">
      <x:c r="A67" t="str">
        <x:v>Check: terminal value &lt; 90% of EV</x:v>
      </x:c>
      <x:c r="B67" s="250" t="str">
        <x:f>IF(B49&lt;0.9,"OK","HIGH")</x:f>
        <x:v>OK</x:v>
      </x:c>
      <x:c r="C67" s="33" t="str">
        <x:v>High terminal-value dependence should be flagged</x:v>
      </x:c>
    </x:row>
  </x:sheetData>
  <x:mergeCells>
    <x:mergeCell ref="A4:F4"/>
    <x:mergeCell ref="A12:F12"/>
    <x:mergeCell ref="A26:F26"/>
    <x:mergeCell ref="A34:F34"/>
    <x:mergeCell ref="A44:F44"/>
    <x:mergeCell ref="A51:F51"/>
  </x:mergeCells>
  <x:conditionalFormatting sqref="B66:B67">
    <x:cfRule type="expression" dxfId="12" priority="1">
      <x:formula>B66="OK"</x:formula>
    </x:cfRule>
    <x:cfRule type="expression" dxfId="13" priority="2">
      <x:formula>B66="CHECK"</x:formula>
    </x:cfRule>
    <x:cfRule type="expression" dxfId="14" priority="3">
      <x:formula>B66="HIGH"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20" t="str">
        <x:v>bioMérieux — DCF Sensitivity</x:v>
      </x:c>
    </x:row>
    <x:row r="2">
      <x:c r="A2" s="122" t="str">
        <x:v>Implied value per share (€) | WACC versus terminal growth rate</x:v>
      </x:c>
    </x:row>
    <x:row r="4" ht="21" customHeight="1">
      <x:c r="A4" s="208" t="str">
        <x:v>Perpetual-growth sensitivity</x:v>
      </x:c>
      <x:c r="B4" s="208"/>
      <x:c r="C4" s="208"/>
      <x:c r="D4" s="208"/>
      <x:c r="E4" s="208"/>
      <x:c r="F4" s="208"/>
    </x:row>
    <x:row r="5" ht="22" customHeight="1">
      <x:c r="A5" s="209" t="str">
        <x:v>WACC / g</x:v>
      </x:c>
      <x:c r="B5" s="259" t="n">
        <x:v>0.015</x:v>
      </x:c>
      <x:c r="C5" s="259" t="n">
        <x:v>0.02</x:v>
      </x:c>
      <x:c r="D5" s="259" t="n">
        <x:v>0.025</x:v>
      </x:c>
      <x:c r="E5" s="259" t="n">
        <x:v>0.03</x:v>
      </x:c>
      <x:c r="F5" s="259" t="n">
        <x:v>0.035</x:v>
      </x:c>
    </x:row>
    <x:row r="6">
      <x:c r="A6" s="261" t="n">
        <x:v>0.059</x:v>
      </x:c>
      <x:c r="B6" s="165" t="n">
        <x:f>(('DCF Valuation'!$B$30/(1+$A6)^'DCF Valuation'!$B$29+'DCF Valuation'!$C$30/(1+$A6)^'DCF Valuation'!$C$29+'DCF Valuation'!$D$30/(1+$A6)^'DCF Valuation'!$D$29+'DCF Valuation'!$E$30/(1+$A6)^'DCF Valuation'!$E$29+'DCF Valuation'!$F$30/(1+$A6)^'DCF Valuation'!$F$29+(('DCF Valuation'!$F$30*(1+B$5)/($A6-B$5))/(1+$A6)^'DCF Valuation'!$B$41))+'DCF Valuation'!$B$59)/'DCF Valuation'!$B$61</x:f>
        <x:v>112.53069805423881</x:v>
      </x:c>
      <x:c r="C6" s="165" t="n">
        <x:f>(('DCF Valuation'!$B$30/(1+$A6)^'DCF Valuation'!$B$29+'DCF Valuation'!$C$30/(1+$A6)^'DCF Valuation'!$C$29+'DCF Valuation'!$D$30/(1+$A6)^'DCF Valuation'!$D$29+'DCF Valuation'!$E$30/(1+$A6)^'DCF Valuation'!$E$29+'DCF Valuation'!$F$30/(1+$A6)^'DCF Valuation'!$F$29+(('DCF Valuation'!$F$30*(1+C$5)/($A6-C$5))/(1+$A6)^'DCF Valuation'!$B$41))+'DCF Valuation'!$B$59)/'DCF Valuation'!$B$61</x:f>
        <x:v>124.97242639634365</x:v>
      </x:c>
      <x:c r="D6" s="165" t="n">
        <x:f>(('DCF Valuation'!$B$30/(1+$A6)^'DCF Valuation'!$B$29+'DCF Valuation'!$C$30/(1+$A6)^'DCF Valuation'!$C$29+'DCF Valuation'!$D$30/(1+$A6)^'DCF Valuation'!$D$29+'DCF Valuation'!$E$30/(1+$A6)^'DCF Valuation'!$E$29+'DCF Valuation'!$F$30/(1+$A6)^'DCF Valuation'!$F$29+(('DCF Valuation'!$F$30*(1+D$5)/($A6-D$5))/(1+$A6)^'DCF Valuation'!$B$41))+'DCF Valuation'!$B$59)/'DCF Valuation'!$B$61</x:f>
        <x:v>141.07348660377343</x:v>
      </x:c>
      <x:c r="E6" s="165" t="n">
        <x:f>(('DCF Valuation'!$B$30/(1+$A6)^'DCF Valuation'!$B$29+'DCF Valuation'!$C$30/(1+$A6)^'DCF Valuation'!$C$29+'DCF Valuation'!$D$30/(1+$A6)^'DCF Valuation'!$D$29+'DCF Valuation'!$E$30/(1+$A6)^'DCF Valuation'!$E$29+'DCF Valuation'!$F$30/(1+$A6)^'DCF Valuation'!$F$29+(('DCF Valuation'!$F$30*(1+E$5)/($A6-E$5))/(1+$A6)^'DCF Valuation'!$B$41))+'DCF Valuation'!$B$59)/'DCF Valuation'!$B$61</x:f>
        <x:v>162.72663653790318</x:v>
      </x:c>
      <x:c r="F6" s="165" t="n">
        <x:f>(('DCF Valuation'!$B$30/(1+$A6)^'DCF Valuation'!$B$29+'DCF Valuation'!$C$30/(1+$A6)^'DCF Valuation'!$C$29+'DCF Valuation'!$D$30/(1+$A6)^'DCF Valuation'!$D$29+'DCF Valuation'!$E$30/(1+$A6)^'DCF Valuation'!$E$29+'DCF Valuation'!$F$30/(1+$A6)^'DCF Valuation'!$F$29+(('DCF Valuation'!$F$30*(1+F$5)/($A6-F$5))/(1+$A6)^'DCF Valuation'!$B$41))+'DCF Valuation'!$B$59)/'DCF Valuation'!$B$61</x:f>
        <x:v>193.40193227792028</x:v>
      </x:c>
    </x:row>
    <x:row r="7">
      <x:c r="A7" s="261" t="n">
        <x:v>0.064</x:v>
      </x:c>
      <x:c r="B7" s="165" t="n">
        <x:f>(('DCF Valuation'!$B$30/(1+$A7)^'DCF Valuation'!$B$29+'DCF Valuation'!$C$30/(1+$A7)^'DCF Valuation'!$C$29+'DCF Valuation'!$D$30/(1+$A7)^'DCF Valuation'!$D$29+'DCF Valuation'!$E$30/(1+$A7)^'DCF Valuation'!$E$29+'DCF Valuation'!$F$30/(1+$A7)^'DCF Valuation'!$F$29+(('DCF Valuation'!$F$30*(1+B$5)/($A7-B$5))/(1+$A7)^'DCF Valuation'!$B$41))+'DCF Valuation'!$B$59)/'DCF Valuation'!$B$61</x:f>
        <x:v>101.16226974772918</x:v>
      </x:c>
      <x:c r="C7" s="165" t="n">
        <x:f>(('DCF Valuation'!$B$30/(1+$A7)^'DCF Valuation'!$B$29+'DCF Valuation'!$C$30/(1+$A7)^'DCF Valuation'!$C$29+'DCF Valuation'!$D$30/(1+$A7)^'DCF Valuation'!$D$29+'DCF Valuation'!$E$30/(1+$A7)^'DCF Valuation'!$E$29+'DCF Valuation'!$F$30/(1+$A7)^'DCF Valuation'!$F$29+(('DCF Valuation'!$F$30*(1+C$5)/($A7-C$5))/(1+$A7)^'DCF Valuation'!$B$41))+'DCF Valuation'!$B$59)/'DCF Valuation'!$B$61</x:f>
        <x:v>110.9089253624346</x:v>
      </x:c>
      <x:c r="D7" s="165" t="n">
        <x:f>(('DCF Valuation'!$B$30/(1+$A7)^'DCF Valuation'!$B$29+'DCF Valuation'!$C$30/(1+$A7)^'DCF Valuation'!$C$29+'DCF Valuation'!$D$30/(1+$A7)^'DCF Valuation'!$D$29+'DCF Valuation'!$E$30/(1+$A7)^'DCF Valuation'!$E$29+'DCF Valuation'!$F$30/(1+$A7)^'DCF Valuation'!$F$29+(('DCF Valuation'!$F$30*(1+D$5)/($A7-D$5))/(1+$A7)^'DCF Valuation'!$B$41))+'DCF Valuation'!$B$59)/'DCF Valuation'!$B$61</x:f>
        <x:v>123.15472344244905</x:v>
      </x:c>
      <x:c r="E7" s="165" t="n">
        <x:f>(('DCF Valuation'!$B$30/(1+$A7)^'DCF Valuation'!$B$29+'DCF Valuation'!$C$30/(1+$A7)^'DCF Valuation'!$C$29+'DCF Valuation'!$D$30/(1+$A7)^'DCF Valuation'!$D$29+'DCF Valuation'!$E$30/(1+$A7)^'DCF Valuation'!$E$29+'DCF Valuation'!$F$30/(1+$A7)^'DCF Valuation'!$F$29+(('DCF Valuation'!$F$30*(1+E$5)/($A7-E$5))/(1+$A7)^'DCF Valuation'!$B$41))+'DCF Valuation'!$B$59)/'DCF Valuation'!$B$61</x:f>
        <x:v>139.00222684011487</x:v>
      </x:c>
      <x:c r="F7" s="165" t="n">
        <x:f>(('DCF Valuation'!$B$30/(1+$A7)^'DCF Valuation'!$B$29+'DCF Valuation'!$C$30/(1+$A7)^'DCF Valuation'!$C$29+'DCF Valuation'!$D$30/(1+$A7)^'DCF Valuation'!$D$29+'DCF Valuation'!$E$30/(1+$A7)^'DCF Valuation'!$E$29+'DCF Valuation'!$F$30/(1+$A7)^'DCF Valuation'!$F$29+(('DCF Valuation'!$F$30*(1+F$5)/($A7-F$5))/(1+$A7)^'DCF Valuation'!$B$41))+'DCF Valuation'!$B$59)/'DCF Valuation'!$B$61</x:f>
        <x:v>160.31438658180332</x:v>
      </x:c>
    </x:row>
    <x:row r="8">
      <x:c r="A8" s="261" t="n">
        <x:v>0.069</x:v>
      </x:c>
      <x:c r="B8" s="165" t="n">
        <x:f>(('DCF Valuation'!$B$30/(1+$A8)^'DCF Valuation'!$B$29+'DCF Valuation'!$C$30/(1+$A8)^'DCF Valuation'!$C$29+'DCF Valuation'!$D$30/(1+$A8)^'DCF Valuation'!$D$29+'DCF Valuation'!$E$30/(1+$A8)^'DCF Valuation'!$E$29+'DCF Valuation'!$F$30/(1+$A8)^'DCF Valuation'!$F$29+(('DCF Valuation'!$F$30*(1+B$5)/($A8-B$5))/(1+$A8)^'DCF Valuation'!$B$41))+'DCF Valuation'!$B$59)/'DCF Valuation'!$B$61</x:f>
        <x:v>91.90825374358919</x:v>
      </x:c>
      <x:c r="C8" s="165" t="n">
        <x:f>(('DCF Valuation'!$B$30/(1+$A8)^'DCF Valuation'!$B$29+'DCF Valuation'!$C$30/(1+$A8)^'DCF Valuation'!$C$29+'DCF Valuation'!$D$30/(1+$A8)^'DCF Valuation'!$D$29+'DCF Valuation'!$E$30/(1+$A8)^'DCF Valuation'!$E$29+'DCF Valuation'!$F$30/(1+$A8)^'DCF Valuation'!$F$29+(('DCF Valuation'!$F$30*(1+C$5)/($A8-C$5))/(1+$A8)^'DCF Valuation'!$B$41))+'DCF Valuation'!$B$59)/'DCF Valuation'!$B$61</x:f>
        <x:v>99.72548997725224</x:v>
      </x:c>
      <x:c r="D8" s="165" t="n">
        <x:f>(('DCF Valuation'!$B$30/(1+$A8)^'DCF Valuation'!$B$29+'DCF Valuation'!$C$30/(1+$A8)^'DCF Valuation'!$C$29+'DCF Valuation'!$D$30/(1+$A8)^'DCF Valuation'!$D$29+'DCF Valuation'!$E$30/(1+$A8)^'DCF Valuation'!$E$29+'DCF Valuation'!$F$30/(1+$A8)^'DCF Valuation'!$F$29+(('DCF Valuation'!$F$30*(1+D$5)/($A8-D$5))/(1+$A8)^'DCF Valuation'!$B$41))+'DCF Valuation'!$B$59)/'DCF Valuation'!$B$61</x:f>
        <x:v>109.31937080947505</x:v>
      </x:c>
      <x:c r="E8" s="165" t="n">
        <x:f>(('DCF Valuation'!$B$30/(1+$A8)^'DCF Valuation'!$B$29+'DCF Valuation'!$C$30/(1+$A8)^'DCF Valuation'!$C$29+'DCF Valuation'!$D$30/(1+$A8)^'DCF Valuation'!$D$29+'DCF Valuation'!$E$30/(1+$A8)^'DCF Valuation'!$E$29+'DCF Valuation'!$F$30/(1+$A8)^'DCF Valuation'!$F$29+(('DCF Valuation'!$F$30*(1+E$5)/($A8-E$5))/(1+$A8)^'DCF Valuation'!$B$41))+'DCF Valuation'!$B$59)/'DCF Valuation'!$B$61</x:f>
        <x:v>121.37322108585758</x:v>
      </x:c>
      <x:c r="F8" s="165" t="n">
        <x:f>(('DCF Valuation'!$B$30/(1+$A8)^'DCF Valuation'!$B$29+'DCF Valuation'!$C$30/(1+$A8)^'DCF Valuation'!$C$29+'DCF Valuation'!$D$30/(1+$A8)^'DCF Valuation'!$D$29+'DCF Valuation'!$E$30/(1+$A8)^'DCF Valuation'!$E$29+'DCF Valuation'!$F$30/(1+$A8)^'DCF Valuation'!$F$29+(('DCF Valuation'!$F$30*(1+F$5)/($A8-F$5))/(1+$A8)^'DCF Valuation'!$B$41))+'DCF Valuation'!$B$59)/'DCF Valuation'!$B$61</x:f>
        <x:v>136.97232144352907</x:v>
      </x:c>
    </x:row>
    <x:row r="9">
      <x:c r="A9" s="261" t="n">
        <x:v>0.074</x:v>
      </x:c>
      <x:c r="B9" s="165" t="n">
        <x:f>(('DCF Valuation'!$B$30/(1+$A9)^'DCF Valuation'!$B$29+'DCF Valuation'!$C$30/(1+$A9)^'DCF Valuation'!$C$29+'DCF Valuation'!$D$30/(1+$A9)^'DCF Valuation'!$D$29+'DCF Valuation'!$E$30/(1+$A9)^'DCF Valuation'!$E$29+'DCF Valuation'!$F$30/(1+$A9)^'DCF Valuation'!$F$29+(('DCF Valuation'!$F$30*(1+B$5)/($A9-B$5))/(1+$A9)^'DCF Valuation'!$B$41))+'DCF Valuation'!$B$59)/'DCF Valuation'!$B$61</x:f>
        <x:v>84.23078884332365</x:v>
      </x:c>
      <x:c r="C9" s="165" t="n">
        <x:f>(('DCF Valuation'!$B$30/(1+$A9)^'DCF Valuation'!$B$29+'DCF Valuation'!$C$30/(1+$A9)^'DCF Valuation'!$C$29+'DCF Valuation'!$D$30/(1+$A9)^'DCF Valuation'!$D$29+'DCF Valuation'!$E$30/(1+$A9)^'DCF Valuation'!$E$29+'DCF Valuation'!$F$30/(1+$A9)^'DCF Valuation'!$F$29+(('DCF Valuation'!$F$30*(1+C$5)/($A9-C$5))/(1+$A9)^'DCF Valuation'!$B$41))+'DCF Valuation'!$B$59)/'DCF Valuation'!$B$61</x:f>
        <x:v>90.62177711725958</x:v>
      </x:c>
      <x:c r="D9" s="165" t="n">
        <x:f>(('DCF Valuation'!$B$30/(1+$A9)^'DCF Valuation'!$B$29+'DCF Valuation'!$C$30/(1+$A9)^'DCF Valuation'!$C$29+'DCF Valuation'!$D$30/(1+$A9)^'DCF Valuation'!$D$29+'DCF Valuation'!$E$30/(1+$A9)^'DCF Valuation'!$E$29+'DCF Valuation'!$F$30/(1+$A9)^'DCF Valuation'!$F$29+(('DCF Valuation'!$F$30*(1+D$5)/($A9-D$5))/(1+$A9)^'DCF Valuation'!$B$41))+'DCF Valuation'!$B$59)/'DCF Valuation'!$B$61</x:f>
        <x:v>98.31704871240692</x:v>
      </x:c>
      <x:c r="E9" s="165" t="n">
        <x:f>(('DCF Valuation'!$B$30/(1+$A9)^'DCF Valuation'!$B$29+'DCF Valuation'!$C$30/(1+$A9)^'DCF Valuation'!$C$29+'DCF Valuation'!$D$30/(1+$A9)^'DCF Valuation'!$D$29+'DCF Valuation'!$E$30/(1+$A9)^'DCF Valuation'!$E$29+'DCF Valuation'!$F$30/(1+$A9)^'DCF Valuation'!$F$29+(('DCF Valuation'!$F$30*(1+E$5)/($A9-E$5))/(1+$A9)^'DCF Valuation'!$B$41))+'DCF Valuation'!$B$59)/'DCF Valuation'!$B$61</x:f>
        <x:v>107.76124567008777</x:v>
      </x:c>
      <x:c r="F9" s="165" t="n">
        <x:f>(('DCF Valuation'!$B$30/(1+$A9)^'DCF Valuation'!$B$29+'DCF Valuation'!$C$30/(1+$A9)^'DCF Valuation'!$C$29+'DCF Valuation'!$D$30/(1+$A9)^'DCF Valuation'!$D$29+'DCF Valuation'!$E$30/(1+$A9)^'DCF Valuation'!$E$29+'DCF Valuation'!$F$30/(1+$A9)^'DCF Valuation'!$F$29+(('DCF Valuation'!$F$30*(1+F$5)/($A9-F$5))/(1+$A9)^'DCF Valuation'!$B$41))+'DCF Valuation'!$B$59)/'DCF Valuation'!$B$61</x:f>
        <x:v>119.62703159127652</x:v>
      </x:c>
    </x:row>
    <x:row r="10">
      <x:c r="A10" s="261" t="n">
        <x:v>0.079</x:v>
      </x:c>
      <x:c r="B10" s="165" t="n">
        <x:f>(('DCF Valuation'!$B$30/(1+$A10)^'DCF Valuation'!$B$29+'DCF Valuation'!$C$30/(1+$A10)^'DCF Valuation'!$C$29+'DCF Valuation'!$D$30/(1+$A10)^'DCF Valuation'!$D$29+'DCF Valuation'!$E$30/(1+$A10)^'DCF Valuation'!$E$29+'DCF Valuation'!$F$30/(1+$A10)^'DCF Valuation'!$F$29+(('DCF Valuation'!$F$30*(1+B$5)/($A10-B$5))/(1+$A10)^'DCF Valuation'!$B$41))+'DCF Valuation'!$B$59)/'DCF Valuation'!$B$61</x:f>
        <x:v>77.76010610968679</x:v>
      </x:c>
      <x:c r="C10" s="165" t="n">
        <x:f>(('DCF Valuation'!$B$30/(1+$A10)^'DCF Valuation'!$B$29+'DCF Valuation'!$C$30/(1+$A10)^'DCF Valuation'!$C$29+'DCF Valuation'!$D$30/(1+$A10)^'DCF Valuation'!$D$29+'DCF Valuation'!$E$30/(1+$A10)^'DCF Valuation'!$E$29+'DCF Valuation'!$F$30/(1+$A10)^'DCF Valuation'!$F$29+(('DCF Valuation'!$F$30*(1+C$5)/($A10-C$5))/(1+$A10)^'DCF Valuation'!$B$41))+'DCF Valuation'!$B$59)/'DCF Valuation'!$B$61</x:f>
        <x:v>83.06875793465429</x:v>
      </x:c>
      <x:c r="D10" s="165" t="n">
        <x:f>(('DCF Valuation'!$B$30/(1+$A10)^'DCF Valuation'!$B$29+'DCF Valuation'!$C$30/(1+$A10)^'DCF Valuation'!$C$29+'DCF Valuation'!$D$30/(1+$A10)^'DCF Valuation'!$D$29+'DCF Valuation'!$E$30/(1+$A10)^'DCF Valuation'!$E$29+'DCF Valuation'!$F$30/(1+$A10)^'DCF Valuation'!$F$29+(('DCF Valuation'!$F$30*(1+D$5)/($A10-D$5))/(1+$A10)^'DCF Valuation'!$B$41))+'DCF Valuation'!$B$59)/'DCF Valuation'!$B$61</x:f>
        <x:v>89.36049343091207</x:v>
      </x:c>
      <x:c r="E10" s="165" t="n">
        <x:f>(('DCF Valuation'!$B$30/(1+$A10)^'DCF Valuation'!$B$29+'DCF Valuation'!$C$30/(1+$A10)^'DCF Valuation'!$C$29+'DCF Valuation'!$D$30/(1+$A10)^'DCF Valuation'!$D$29+'DCF Valuation'!$E$30/(1+$A10)^'DCF Valuation'!$E$29+'DCF Valuation'!$F$30/(1+$A10)^'DCF Valuation'!$F$29+(('DCF Valuation'!$F$30*(1+E$5)/($A10-E$5))/(1+$A10)^'DCF Valuation'!$B$41))+'DCF Valuation'!$B$59)/'DCF Valuation'!$B$61</x:f>
        <x:v>96.93625657946737</x:v>
      </x:c>
      <x:c r="F10" s="165" t="n">
        <x:f>(('DCF Valuation'!$B$30/(1+$A10)^'DCF Valuation'!$B$29+'DCF Valuation'!$C$30/(1+$A10)^'DCF Valuation'!$C$29+'DCF Valuation'!$D$30/(1+$A10)^'DCF Valuation'!$D$29+'DCF Valuation'!$E$30/(1+$A10)^'DCF Valuation'!$E$29+'DCF Valuation'!$F$30/(1+$A10)^'DCF Valuation'!$F$29+(('DCF Valuation'!$F$30*(1+F$5)/($A10-F$5))/(1+$A10)^'DCF Valuation'!$B$41))+'DCF Valuation'!$B$59)/'DCF Valuation'!$B$61</x:f>
        <x:v>106.23378407996702</x:v>
      </x:c>
    </x:row>
    <x:row r="12" ht="22" customHeight="1">
      <x:c r="A12" s="209" t="str">
        <x:v>Reference</x:v>
      </x:c>
      <x:c r="B12" s="209" t="str">
        <x:v>Value</x:v>
      </x:c>
      <x:c r="C12" s="209" t="str">
        <x:v>Interpretation</x:v>
      </x:c>
    </x:row>
    <x:row r="13">
      <x:c r="A13" t="str">
        <x:v>Calculated base WACC</x:v>
      </x:c>
      <x:c r="B13" s="243" t="n">
        <x:f>'WACC'!B32</x:f>
        <x:v>0.06868970480288383</x:v>
      </x:c>
      <x:c r="C13" t="str">
        <x:v>Exact model WACC</x:v>
      </x:c>
    </x:row>
    <x:row r="14">
      <x:c r="A14" t="str">
        <x:v>Base terminal growth</x:v>
      </x:c>
      <x:c r="B14" s="243" t="n">
        <x:f>'WACC'!B33</x:f>
        <x:v>0.025</x:v>
      </x:c>
      <x:c r="C14" t="str">
        <x:v>Long-run nominal growth assumption</x:v>
      </x:c>
    </x:row>
    <x:row r="15">
      <x:c r="A15" t="str">
        <x:v>Base DCF value / share</x:v>
      </x:c>
      <x:c r="B15" s="164" t="n">
        <x:f>'DCF Valuation'!B62</x:f>
        <x:v>110.08550164860313</x:v>
      </x:c>
      <x:c r="C15" t="str">
        <x:v>From the main DCF</x:v>
      </x:c>
    </x:row>
    <x:row r="16">
      <x:c r="A16" t="str">
        <x:v>Current share price</x:v>
      </x:c>
      <x:c r="B16" s="164" t="n">
        <x:f>'WACC'!B34</x:f>
        <x:v>73.2</x:v>
      </x:c>
      <x:c r="C16" t="str">
        <x:v>Market price at valuation date</x:v>
      </x:c>
    </x:row>
    <x:row r="17">
      <x:c r="A17" t="str">
        <x:v>Base upside / (downside)</x:v>
      </x:c>
      <x:c r="B17" s="152" t="n">
        <x:f>'DCF Valuation'!B65</x:f>
        <x:v>0.5039002957459444</x:v>
      </x:c>
      <x:c r="C17" t="str">
        <x:v>DCF value versus current price</x:v>
      </x:c>
    </x:row>
    <x:row r="19" ht="21" customHeight="1">
      <x:c r="A19" s="208" t="str">
        <x:v>Interpretation</x:v>
      </x:c>
      <x:c r="B19" s="208"/>
      <x:c r="C19" s="208"/>
      <x:c r="D19" s="208"/>
      <x:c r="E19" s="208"/>
      <x:c r="F19" s="208"/>
    </x:row>
    <x:row r="20" ht="30" customHeight="1">
      <x:c r="A20" s="162" t="str">
        <x:v>The valuation is most sensitive to WACC and terminal growth because terminal value represents a large share of enterprise value. The table is therefore more useful than relying on a single point estimate.</x:v>
      </x:c>
      <x:c r="B20" s="162"/>
      <x:c r="C20" s="162"/>
      <x:c r="D20" s="162"/>
      <x:c r="E20" s="162"/>
      <x:c r="F20" s="162"/>
    </x:row>
    <x:row r="21" ht="30" customHeight="1">
      <x:c r="A21" s="162" t="str">
        <x:v>An exit-multiple cross-check is intentionally deferred until the comparable-company analysis is completed, so the DCF does not use an unsupported terminal multiple.</x:v>
      </x:c>
      <x:c r="B21" s="162"/>
      <x:c r="C21" s="162"/>
      <x:c r="D21" s="162"/>
      <x:c r="E21" s="162"/>
      <x:c r="F21" s="162"/>
    </x:row>
  </x:sheetData>
  <x:mergeCells>
    <x:mergeCell ref="A4:F4"/>
    <x:mergeCell ref="A19:F19"/>
    <x:mergeCell ref="A20:F20"/>
    <x:mergeCell ref="A21:F21"/>
  </x:mergeCells>
  <x:conditionalFormatting sqref="B6:F10">
    <x:cfRule type="colorScale" priority="1">
      <x:colorScale>
        <x:cfvo type="min"/>
        <x:cfvo type="percentile" val="50"/>
        <x:cfvo type="max"/>
        <x:color rgb="FFFDE9E7"/>
        <x:color rgb="FFFFF2CC"/>
        <x:color rgb="FFE8F5E9"/>
      </x:colorScale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39" hidden="0" customWidth="1"/>
    <x:col min="4" max="4" width="14" hidden="0" customWidth="1"/>
    <x:col min="5" max="5" width="14" hidden="0" customWidth="1"/>
    <x:col min="6" max="6" width="14" hidden="0" customWidth="1"/>
    <x:col min="7" max="7" width="3" hidden="0" customWidth="1"/>
    <x:col min="8" max="8" width="22" hidden="0" customWidth="1"/>
    <x:col min="9" max="9" width="16" hidden="0" customWidth="1"/>
    <x:col min="10" max="10" width="16" hidden="0" customWidth="1"/>
  </x:cols>
  <x:sheetData>
    <x:row r="1">
      <x:c r="A1" s="120" t="str">
        <x:v>bioMérieux — DCF Valuation Summary</x:v>
      </x:c>
    </x:row>
    <x:row r="2">
      <x:c r="A2" s="122" t="str">
        <x:v>Base case | Valuation date 19 August 2026 | Updated for H1 2026 financial information</x:v>
      </x:c>
    </x:row>
    <x:row r="4" ht="21" customHeight="1">
      <x:c r="A4" s="208" t="str">
        <x:v>Valuation output</x:v>
      </x:c>
      <x:c r="B4" s="208"/>
      <x:c r="C4" s="208"/>
      <x:c r="D4" s="208"/>
      <x:c r="E4" s="208"/>
      <x:c r="F4" s="208"/>
      <x:c r="H4" t="str">
        <x:v>Price comparison</x:v>
      </x:c>
      <x:c r="I4" t="str">
        <x:v>€ / share</x:v>
      </x:c>
    </x:row>
    <x:row r="5" ht="22" customHeight="1">
      <x:c r="A5" s="209" t="str">
        <x:v>Metric</x:v>
      </x:c>
      <x:c r="B5" s="209" t="str">
        <x:v>Value</x:v>
      </x:c>
      <x:c r="C5" s="219" t="str">
        <x:v>Comment</x:v>
      </x:c>
      <x:c r="H5" t="str">
        <x:v>Current market price</x:v>
      </x:c>
      <x:c r="I5" s="165" t="n">
        <x:f>B6</x:f>
        <x:v>73.2</x:v>
      </x:c>
    </x:row>
    <x:row r="6">
      <x:c r="A6" t="str">
        <x:v>Current share price</x:v>
      </x:c>
      <x:c r="B6" s="164" t="n">
        <x:f>'WACC'!B34</x:f>
        <x:v>73.2</x:v>
      </x:c>
      <x:c r="C6" s="33" t="str">
        <x:v>Euronext Paris (BIM)</x:v>
      </x:c>
      <x:c r="H6" t="str">
        <x:v>DCF implied value</x:v>
      </x:c>
      <x:c r="I6" s="165" t="n">
        <x:f>B7</x:f>
        <x:v>110.08550164860313</x:v>
      </x:c>
    </x:row>
    <x:row r="7">
      <x:c r="A7" s="156" t="str">
        <x:v>Implied DCF value / share</x:v>
      </x:c>
      <x:c r="B7" s="249" t="n">
        <x:f>'DCF Valuation'!B62</x:f>
        <x:v>110.08550164860313</x:v>
      </x:c>
      <x:c r="C7" s="221" t="str">
        <x:v>Perpetual-growth method</x:v>
      </x:c>
    </x:row>
    <x:row r="8">
      <x:c r="A8" t="str">
        <x:v>Upside / (downside)</x:v>
      </x:c>
      <x:c r="B8" s="152" t="n">
        <x:f>'DCF Valuation'!B65</x:f>
        <x:v>0.5039002957459444</x:v>
      </x:c>
      <x:c r="C8" s="33" t="str">
        <x:v>DCF value versus current market price</x:v>
      </x:c>
    </x:row>
    <x:row r="9">
      <x:c r="A9" s="156" t="str">
        <x:v>Enterprise value</x:v>
      </x:c>
      <x:c r="B9" s="158" t="n">
        <x:f>'DCF Valuation'!B48</x:f>
        <x:v>12728.083926145604</x:v>
      </x:c>
      <x:c r="C9" s="221" t="str">
        <x:v>PV of explicit UFCF + terminal value</x:v>
      </x:c>
    </x:row>
    <x:row r="10">
      <x:c r="A10" s="156" t="str">
        <x:v>Equity value</x:v>
      </x:c>
      <x:c r="B10" s="158" t="n">
        <x:f>'DCF Valuation'!B60</x:f>
        <x:v>13030.583926145604</x:v>
      </x:c>
      <x:c r="C10" s="221" t="str">
        <x:v>EV adjusted for net cash and non-operating items</x:v>
      </x:c>
    </x:row>
    <x:row r="11">
      <x:c r="A11" t="str">
        <x:v>WACC</x:v>
      </x:c>
      <x:c r="B11" s="243" t="n">
        <x:f>'WACC'!B32</x:f>
        <x:v>0.06868970480288383</x:v>
      </x:c>
      <x:c r="C11" s="33" t="str">
        <x:v>Calculated CAPM-based WACC</x:v>
      </x:c>
    </x:row>
    <x:row r="12">
      <x:c r="A12" t="str">
        <x:v>Terminal growth rate</x:v>
      </x:c>
      <x:c r="B12" s="243" t="n">
        <x:f>'WACC'!B33</x:f>
        <x:v>0.025</x:v>
      </x:c>
      <x:c r="C12" s="33" t="str">
        <x:v>Base long-run nominal growth</x:v>
      </x:c>
    </x:row>
    <x:row r="13">
      <x:c r="A13" t="str">
        <x:v>Terminal value contribution</x:v>
      </x:c>
      <x:c r="B13" s="243" t="n">
        <x:f>'DCF Valuation'!B49</x:f>
        <x:v>0.8453991246244931</x:v>
      </x:c>
      <x:c r="C13" s="33" t="str">
        <x:v>PV of terminal value / enterprise value</x:v>
      </x:c>
    </x:row>
    <x:row r="15" ht="21" customHeight="1">
      <x:c r="A15" s="208" t="str">
        <x:v>Key methodology</x:v>
      </x:c>
      <x:c r="B15" s="208"/>
      <x:c r="C15" s="208"/>
      <x:c r="D15" s="208"/>
      <x:c r="E15" s="208"/>
      <x:c r="F15" s="208"/>
    </x:row>
    <x:row r="16" ht="42" customHeight="1">
      <x:c r="A16" s="140" t="str">
        <x:v>Stub-period treatment</x:v>
      </x:c>
      <x:c r="B16" s="180" t="str">
        <x:v>The DCF excludes estimated cash flow already generated before 19 August 2026. H1 actual UFCF is calculated from reported H1 CEBIT, D&amp;A, capex and operating working capital, then the remaining H2 forecast is prorated to year-end.</x:v>
      </x:c>
      <x:c r="C16" s="180"/>
      <x:c r="D16" s="180"/>
      <x:c r="E16" s="180"/>
      <x:c r="F16" s="180"/>
    </x:row>
    <x:row r="17" ht="42" customHeight="1">
      <x:c r="A17" s="140" t="str">
        <x:v>Discounting</x:v>
      </x:c>
      <x:c r="B17" s="180" t="str">
        <x:v>Mid-year convention is used for the remaining 2026 stub and FY2027E–FY2030E cash flows; terminal value is discounted from 31 December 2030.</x:v>
      </x:c>
      <x:c r="C17" s="180"/>
      <x:c r="D17" s="180"/>
      <x:c r="E17" s="180"/>
      <x:c r="F17" s="180"/>
    </x:row>
    <x:row r="18" ht="42" customHeight="1">
      <x:c r="A18" s="140" t="str">
        <x:v>WACC</x:v>
      </x:c>
      <x:c r="B18" s="180" t="str">
        <x:v>CAPM uses the 19 August 2026 German 10-year Bund yield, Damodaran's July 2026 implied ERP and the European Healthcare Products unlevered beta, relevered to bioMérieux's market capital structure.</x:v>
      </x:c>
      <x:c r="C18" s="180"/>
      <x:c r="D18" s="180"/>
      <x:c r="E18" s="180"/>
      <x:c r="F18" s="180"/>
    </x:row>
    <x:row r="19" ht="42" customHeight="1">
      <x:c r="A19" s="140" t="str">
        <x:v>EV-to-equity bridge</x:v>
      </x:c>
      <x:c r="B19" s="180" t="str">
        <x:v>Reported net cash is added to enterprise value. Because reported net cash already includes lease liabilities, leases are not deducted separately. Non-operating equity investments are added; pension obligations and minority interests are deducted.</x:v>
      </x:c>
      <x:c r="C19" s="180"/>
      <x:c r="D19" s="180"/>
      <x:c r="E19" s="180"/>
      <x:c r="F19" s="180"/>
    </x:row>
    <x:row r="20" ht="42" customHeight="1">
      <x:c r="A20" s="140" t="str">
        <x:v>Terminal value</x:v>
      </x:c>
      <x:c r="B20" s="180" t="str">
        <x:v>Perpetual-growth method with a 2.5% base terminal growth rate. An exit-multiple cross-check is deferred until the comparable-company analysis is completed.</x:v>
      </x:c>
      <x:c r="C20" s="180"/>
      <x:c r="D20" s="180"/>
      <x:c r="E20" s="180"/>
      <x:c r="F20" s="180"/>
    </x:row>
    <x:row r="22" ht="21" customHeight="1">
      <x:c r="A22" s="208" t="str">
        <x:v>Risk / interpretation</x:v>
      </x:c>
      <x:c r="B22" s="208"/>
      <x:c r="C22" s="208"/>
      <x:c r="D22" s="208"/>
      <x:c r="E22" s="208"/>
      <x:c r="F22" s="208"/>
    </x:row>
    <x:row r="23" ht="32" customHeight="1">
      <x:c r="A23" s="162" t="str">
        <x:v>The base DCF should be read together with the sensitivity table. Terminal value contributes a high proportion of enterprise value, so small changes in WACC or terminal growth materially change the implied price.</x:v>
      </x:c>
      <x:c r="B23" s="162"/>
      <x:c r="C23" s="162"/>
      <x:c r="D23" s="162"/>
      <x:c r="E23" s="162"/>
      <x:c r="F23" s="162"/>
    </x:row>
    <x:row r="24" ht="32" customHeight="1">
      <x:c r="A24" s="162" t="str">
        <x:v>This is an independent portfolio valuation based on the updated FY2026E–FY2030E forecast and public information available on the valuation date; it is not investment advice.</x:v>
      </x:c>
      <x:c r="B24" s="162"/>
      <x:c r="C24" s="162"/>
      <x:c r="D24" s="162"/>
      <x:c r="E24" s="162"/>
      <x:c r="F24" s="162"/>
    </x:row>
  </x:sheetData>
  <x:mergeCells>
    <x:mergeCell ref="A4:F4"/>
    <x:mergeCell ref="A15:F15"/>
    <x:mergeCell ref="B16:F16"/>
    <x:mergeCell ref="B17:F17"/>
    <x:mergeCell ref="B18:F18"/>
    <x:mergeCell ref="B19:F19"/>
    <x:mergeCell ref="B20:F20"/>
    <x:mergeCell ref="A22:F22"/>
    <x:mergeCell ref="A23:F23"/>
    <x:mergeCell ref="A24:F24"/>
  </x:mergeCells>
  <x:pageMargins left="0.7" right="0.7" top="0.75" bottom="0.75" header="0.3" footer="0.3"/>
  <x:drawing xmlns:r="http://schemas.openxmlformats.org/officeDocument/2006/relationships" r:id="R3684b637723f4fe4"/>
</x:worksheet>
</file>