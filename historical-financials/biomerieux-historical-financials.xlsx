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64" windowWidth="15996" windowHeight="5244" activeTab="4"/>
  </bookViews>
  <sheets>
    <sheet name="Cover" sheetId="1" r:id="rId1"/>
    <sheet name="Income Statement" sheetId="2" r:id="rId2"/>
    <sheet name="Balance Sheet" sheetId="3" r:id="rId3"/>
    <sheet name="Cash Flow" sheetId="4" r:id="rId4"/>
    <sheet name="Revenue Breakdown" sheetId="5" r:id="rId5"/>
    <sheet name="Ratios" sheetId="6" r:id="rId6"/>
    <sheet name="Sources" sheetId="7" r:id="rId7"/>
  </sheets>
  <calcPr calcId="125725"/>
</workbook>
</file>

<file path=xl/calcChain.xml><?xml version="1.0" encoding="utf-8"?>
<calcChain xmlns="http://schemas.openxmlformats.org/spreadsheetml/2006/main">
  <c r="D48" i="6"/>
  <c r="C48"/>
  <c r="B48"/>
  <c r="D44"/>
  <c r="C44"/>
  <c r="B44"/>
  <c r="D42"/>
  <c r="C42"/>
  <c r="D41"/>
  <c r="C41"/>
  <c r="B41"/>
  <c r="D37"/>
  <c r="C37"/>
  <c r="B37"/>
  <c r="D36"/>
  <c r="C36"/>
  <c r="B36"/>
  <c r="D31"/>
  <c r="D32" s="1"/>
  <c r="C31"/>
  <c r="C32" s="1"/>
  <c r="B31"/>
  <c r="B32" s="1"/>
  <c r="C29"/>
  <c r="C30" s="1"/>
  <c r="D20"/>
  <c r="C20"/>
  <c r="D16"/>
  <c r="C16"/>
  <c r="D12"/>
  <c r="C12"/>
  <c r="B12"/>
  <c r="D11"/>
  <c r="C11"/>
  <c r="B11"/>
  <c r="D34" i="5"/>
  <c r="C34"/>
  <c r="B34"/>
  <c r="D24"/>
  <c r="C24"/>
  <c r="B24"/>
  <c r="D15"/>
  <c r="C15"/>
  <c r="B15"/>
  <c r="D27" i="4"/>
  <c r="D36" s="1"/>
  <c r="D25"/>
  <c r="C25"/>
  <c r="B25"/>
  <c r="D19"/>
  <c r="C19"/>
  <c r="B19"/>
  <c r="D16"/>
  <c r="D29" i="6" s="1"/>
  <c r="C16" i="4"/>
  <c r="B16"/>
  <c r="B29" i="6" s="1"/>
  <c r="D11" i="4"/>
  <c r="C11"/>
  <c r="C27" s="1"/>
  <c r="C36" s="1"/>
  <c r="B11"/>
  <c r="B27" s="1"/>
  <c r="B36" s="1"/>
  <c r="D45" i="3"/>
  <c r="C45"/>
  <c r="B45"/>
  <c r="D37"/>
  <c r="C37"/>
  <c r="B37"/>
  <c r="D32"/>
  <c r="D47" s="1"/>
  <c r="D30"/>
  <c r="C30"/>
  <c r="C32" s="1"/>
  <c r="C47" s="1"/>
  <c r="B30"/>
  <c r="B32" s="1"/>
  <c r="B47" s="1"/>
  <c r="B24"/>
  <c r="D22"/>
  <c r="D38" i="6" s="1"/>
  <c r="C22" i="3"/>
  <c r="C38" i="6" s="1"/>
  <c r="B22" i="3"/>
  <c r="B38" i="6" s="1"/>
  <c r="D14" i="3"/>
  <c r="D24" s="1"/>
  <c r="D48" s="1"/>
  <c r="C14"/>
  <c r="C24" s="1"/>
  <c r="C48" s="1"/>
  <c r="B14"/>
  <c r="D39" i="2"/>
  <c r="D8" i="6" s="1"/>
  <c r="C39" i="2"/>
  <c r="C8" i="6" s="1"/>
  <c r="B39" i="2"/>
  <c r="B8" i="6" s="1"/>
  <c r="D16" i="2"/>
  <c r="D19" i="6" s="1"/>
  <c r="C16" i="2"/>
  <c r="C19" i="6" s="1"/>
  <c r="D14" i="2"/>
  <c r="C14"/>
  <c r="B14"/>
  <c r="B16" s="1"/>
  <c r="C8"/>
  <c r="C6" i="6" s="1"/>
  <c r="B8" i="2"/>
  <c r="B6" i="6" s="1"/>
  <c r="D7" i="2"/>
  <c r="D18" i="6" s="1"/>
  <c r="C7" i="2"/>
  <c r="C18" i="6" s="1"/>
  <c r="B7" i="2"/>
  <c r="B17" l="1"/>
  <c r="B7" i="6" s="1"/>
  <c r="B20" i="2"/>
  <c r="B22" s="1"/>
  <c r="D30" i="6"/>
  <c r="D33"/>
  <c r="B30"/>
  <c r="B33"/>
  <c r="B48" i="3"/>
  <c r="D20" i="2"/>
  <c r="D22" s="1"/>
  <c r="C20"/>
  <c r="C22" s="1"/>
  <c r="D17"/>
  <c r="D7" i="6" s="1"/>
  <c r="C33"/>
  <c r="D8" i="2"/>
  <c r="D6" i="6" s="1"/>
  <c r="C17" i="2"/>
  <c r="C7" i="6" s="1"/>
  <c r="D9" l="1"/>
  <c r="D13"/>
  <c r="D26" s="1"/>
  <c r="D28" i="2"/>
  <c r="D30" s="1"/>
  <c r="C13" i="6"/>
  <c r="C26" s="1"/>
  <c r="C28" i="2"/>
  <c r="C30" s="1"/>
  <c r="C9" i="6"/>
  <c r="B28" i="2"/>
  <c r="B30" s="1"/>
  <c r="B31" s="1"/>
  <c r="B10" i="6" s="1"/>
  <c r="B13"/>
  <c r="B9"/>
  <c r="D24" l="1"/>
  <c r="D31" i="2"/>
  <c r="D10" i="6" s="1"/>
  <c r="D25"/>
  <c r="D21"/>
  <c r="C25"/>
  <c r="C31" i="2"/>
  <c r="C10" i="6" s="1"/>
  <c r="C21"/>
  <c r="C24"/>
</calcChain>
</file>

<file path=xl/sharedStrings.xml><?xml version="1.0" encoding="utf-8"?>
<sst xmlns="http://schemas.openxmlformats.org/spreadsheetml/2006/main" count="263" uniqueCount="238">
  <si>
    <t>bioMérieux SA</t>
  </si>
  <si>
    <t>Historical Financial Statements</t>
  </si>
  <si>
    <t>FY2023 – FY2025</t>
  </si>
  <si>
    <t>Company</t>
  </si>
  <si>
    <t>Ticker</t>
  </si>
  <si>
    <t>BIM (Euronext Paris)</t>
  </si>
  <si>
    <t>ISIN</t>
  </si>
  <si>
    <t>FR0013280286</t>
  </si>
  <si>
    <t>Sector</t>
  </si>
  <si>
    <t>Healthcare — In Vitro Diagnostics</t>
  </si>
  <si>
    <t>Headquarters</t>
  </si>
  <si>
    <t>Marcy-l'Étoile, France</t>
  </si>
  <si>
    <t>Financial Year End</t>
  </si>
  <si>
    <t>31 December</t>
  </si>
  <si>
    <t>Reporting Currency</t>
  </si>
  <si>
    <t>Euro (€, millions)</t>
  </si>
  <si>
    <t>Accounting Standards</t>
  </si>
  <si>
    <t>IFRS</t>
  </si>
  <si>
    <t>Prepared by:</t>
  </si>
  <si>
    <t>Erica Zheng</t>
  </si>
  <si>
    <t>Date:</t>
  </si>
  <si>
    <t>All figures in € millions unless otherwise stated.</t>
  </si>
  <si>
    <t>This workbook is for educational and portfolio purposes only.</t>
  </si>
  <si>
    <t>bioMérieux — Consolidated Income Statement</t>
  </si>
  <si>
    <t>In € millions, year ended 31 December</t>
  </si>
  <si>
    <t>Net sales</t>
  </si>
  <si>
    <t>Cost of sales</t>
  </si>
  <si>
    <t>Gross profit</t>
  </si>
  <si>
    <t>Gross margin (%)</t>
  </si>
  <si>
    <t>Other operating income</t>
  </si>
  <si>
    <t>Selling and marketing expenses</t>
  </si>
  <si>
    <t>General and administrative expenses</t>
  </si>
  <si>
    <t>Research and development expenses</t>
  </si>
  <si>
    <t>Total operating expenses</t>
  </si>
  <si>
    <t>Contributive operating income (CEBIT)</t>
  </si>
  <si>
    <t>CEBIT margin (%)</t>
  </si>
  <si>
    <t>Amortisation of acquired intangibles &amp; related</t>
  </si>
  <si>
    <t>Operating income before non-recurring items</t>
  </si>
  <si>
    <t>Other non-recurring income (expenses)</t>
  </si>
  <si>
    <t>Operating income</t>
  </si>
  <si>
    <t>Cost of net financial debt</t>
  </si>
  <si>
    <t>Other financial items</t>
  </si>
  <si>
    <t>Income tax</t>
  </si>
  <si>
    <t>Share of net income of associates</t>
  </si>
  <si>
    <t>Net income of consolidated companies</t>
  </si>
  <si>
    <t>Attributable to minority interests</t>
  </si>
  <si>
    <t>Net income, group share</t>
  </si>
  <si>
    <t>Net margin (%)</t>
  </si>
  <si>
    <t>Basic EPS (€)</t>
  </si>
  <si>
    <t>Diluted EPS (€)</t>
  </si>
  <si>
    <t>Adjusted EPS, diluted (€)</t>
  </si>
  <si>
    <t>Adjusted net income</t>
  </si>
  <si>
    <t>EBITDA</t>
  </si>
  <si>
    <t>EBITDA margin (%)</t>
  </si>
  <si>
    <t>CEBIT = Contributive operating income before non-recurring items.</t>
  </si>
  <si>
    <t>EBITDA = CEBIT + depreciation and amortisation.</t>
  </si>
  <si>
    <t>bioMérieux — Consolidated Balance Sheet</t>
  </si>
  <si>
    <t>In € millions, as at 31 December</t>
  </si>
  <si>
    <t>ASSETS</t>
  </si>
  <si>
    <t>Goodwill</t>
  </si>
  <si>
    <t>Other intangible assets</t>
  </si>
  <si>
    <t>Property, plant and equipment</t>
  </si>
  <si>
    <t>Right-of-use assets</t>
  </si>
  <si>
    <t>Financial assets</t>
  </si>
  <si>
    <t>Investments in associates</t>
  </si>
  <si>
    <t>Other non-current assets</t>
  </si>
  <si>
    <t>Deferred tax assets</t>
  </si>
  <si>
    <t>Non-current assets</t>
  </si>
  <si>
    <t>Inventories and work in progress</t>
  </si>
  <si>
    <t>Trade receivables</t>
  </si>
  <si>
    <t>Other operating receivables</t>
  </si>
  <si>
    <t>Tax receivable</t>
  </si>
  <si>
    <t>Non-operating receivables</t>
  </si>
  <si>
    <t>Cash and cash equivalents</t>
  </si>
  <si>
    <t>Current assets</t>
  </si>
  <si>
    <t>Total assets</t>
  </si>
  <si>
    <t>EQUITY AND LIABILITIES</t>
  </si>
  <si>
    <t>Share capital</t>
  </si>
  <si>
    <t>Additional paid-in capital and reserves</t>
  </si>
  <si>
    <t>Net income for the year</t>
  </si>
  <si>
    <t>Shareholders' equity</t>
  </si>
  <si>
    <t>Minority interests</t>
  </si>
  <si>
    <t>Total equity</t>
  </si>
  <si>
    <t>Long-term borrowings and debt</t>
  </si>
  <si>
    <t>Deferred tax liabilities</t>
  </si>
  <si>
    <t>Provisions (non-current)</t>
  </si>
  <si>
    <t>Non-current liabilities</t>
  </si>
  <si>
    <t>Short-term borrowings and debt</t>
  </si>
  <si>
    <t>Provisions (current)</t>
  </si>
  <si>
    <t>Trade payables</t>
  </si>
  <si>
    <t>Other operating liabilities</t>
  </si>
  <si>
    <t>Tax liabilities</t>
  </si>
  <si>
    <t>Non-operating liabilities</t>
  </si>
  <si>
    <t>Current liabilities</t>
  </si>
  <si>
    <t>Total equity and liabilities</t>
  </si>
  <si>
    <t>bioMérieux — Consolidated Cash Flow Statement</t>
  </si>
  <si>
    <t>EBITDA (before non-recurring items)</t>
  </si>
  <si>
    <t>Change in operating working capital</t>
  </si>
  <si>
    <t>Other working capital changes</t>
  </si>
  <si>
    <t>Income tax paid</t>
  </si>
  <si>
    <t>Other non-cash adjustments</t>
  </si>
  <si>
    <t>Net cash from operating activities</t>
  </si>
  <si>
    <t>Purchases of PP&amp;E and intangibles</t>
  </si>
  <si>
    <t>Disposals of PP&amp;E and intangibles</t>
  </si>
  <si>
    <t>Other non-current financial assets</t>
  </si>
  <si>
    <t>Free cash flow</t>
  </si>
  <si>
    <t>Acquisitions and changes in group structure</t>
  </si>
  <si>
    <t>Net cash used in investing activities</t>
  </si>
  <si>
    <t>Purchases and sales of treasury shares</t>
  </si>
  <si>
    <t>Dividends paid</t>
  </si>
  <si>
    <t>Net borrowings / (repayments)</t>
  </si>
  <si>
    <t>Other financing</t>
  </si>
  <si>
    <t>Net cash used in financing activities</t>
  </si>
  <si>
    <t>Net change in cash</t>
  </si>
  <si>
    <t>Cash at beginning of year</t>
  </si>
  <si>
    <t>FX impact on cash</t>
  </si>
  <si>
    <t>Cash at end of year</t>
  </si>
  <si>
    <t>bioMérieux — Revenue Breakdown</t>
  </si>
  <si>
    <t>Revenue by application</t>
  </si>
  <si>
    <t>Clinical applications</t>
  </si>
  <si>
    <t>Molecular biology</t>
  </si>
  <si>
    <t>of which: BIOFIRE®</t>
  </si>
  <si>
    <t>of which: SPOTFIRE®</t>
  </si>
  <si>
    <t>of which: Other molecular</t>
  </si>
  <si>
    <t>Microbiology</t>
  </si>
  <si>
    <t>Immunoassays</t>
  </si>
  <si>
    <t>Other clinical</t>
  </si>
  <si>
    <t>Industrial applications</t>
  </si>
  <si>
    <t>Total sales</t>
  </si>
  <si>
    <t>Revenue by geography</t>
  </si>
  <si>
    <t>North America</t>
  </si>
  <si>
    <t>Latin America</t>
  </si>
  <si>
    <t>EMEA</t>
  </si>
  <si>
    <t>Asia Pacific</t>
  </si>
  <si>
    <t>Revenue by type</t>
  </si>
  <si>
    <t>Equipment sales</t>
  </si>
  <si>
    <t>Reagents and consumables</t>
  </si>
  <si>
    <t>Services</t>
  </si>
  <si>
    <t>Equipment rentals</t>
  </si>
  <si>
    <t>Other revenues</t>
  </si>
  <si>
    <t>BIOFIRE/SPOTFIRE sub-breakdown not available for FY2023 under comparable presentation.</t>
  </si>
  <si>
    <t>bioMérieux — Key Financial Ratios</t>
  </si>
  <si>
    <t>Year ended 31 December</t>
  </si>
  <si>
    <t>PROFITABILITY</t>
  </si>
  <si>
    <t>Gross margin</t>
  </si>
  <si>
    <t>CEBIT margin</t>
  </si>
  <si>
    <t>EBITDA margin</t>
  </si>
  <si>
    <t>Operating margin</t>
  </si>
  <si>
    <t>Net margin (group share)</t>
  </si>
  <si>
    <t>R&amp;D as % of sales</t>
  </si>
  <si>
    <t>SG&amp;A as % of sales</t>
  </si>
  <si>
    <t>Effective tax rate</t>
  </si>
  <si>
    <t>GROWTH</t>
  </si>
  <si>
    <t>Revenue growth (reported)</t>
  </si>
  <si>
    <t>Revenue growth (organic)</t>
  </si>
  <si>
    <t>Gross profit growth</t>
  </si>
  <si>
    <t>CEBIT growth (reported)</t>
  </si>
  <si>
    <t>EBITDA growth</t>
  </si>
  <si>
    <t>Net income growth (group share)</t>
  </si>
  <si>
    <t>RETURNS</t>
  </si>
  <si>
    <t>CASH FLOW AND CAPEX</t>
  </si>
  <si>
    <t>Free cash flow (€m)</t>
  </si>
  <si>
    <t>FCF margin</t>
  </si>
  <si>
    <t>Capex (€m)</t>
  </si>
  <si>
    <t>Capex as % of sales</t>
  </si>
  <si>
    <t>FCF conversion (FCF / EBITDA)</t>
  </si>
  <si>
    <t>LEVERAGE AND LIQUIDITY</t>
  </si>
  <si>
    <t>Net cash (debt) (€m)</t>
  </si>
  <si>
    <t>Current ratio</t>
  </si>
  <si>
    <t>PER SHARE DATA</t>
  </si>
  <si>
    <t>Adjusted diluted EPS (€)</t>
  </si>
  <si>
    <t>Dividend per share (€)</t>
  </si>
  <si>
    <t>WORKFORCE</t>
  </si>
  <si>
    <t>Employees (FTE, approx.)</t>
  </si>
  <si>
    <t>Revenue per employee (€k)</t>
  </si>
  <si>
    <t>FY2023A</t>
  </si>
  <si>
    <t>FY2024A</t>
  </si>
  <si>
    <t>FY2025A</t>
  </si>
  <si>
    <t>Sources: 2025 URD (p. 258; business review p. 251); 2024 URD (p. 244); FY2025 results materials.</t>
  </si>
  <si>
    <t>FY2023 CEBIT reconciles to €609.6m after a €0.1m rounding adjustment; the company presents it as €610m.</t>
  </si>
  <si>
    <t>Net income rounding adjustment</t>
  </si>
  <si>
    <t>Operating expense rounding adjustment</t>
  </si>
  <si>
    <t>Balance sheet check</t>
  </si>
  <si>
    <t>Sources: 2025 URD (p. 260); 2024 URD (p. 246).</t>
  </si>
  <si>
    <t>Non-current assets rounding adjustment</t>
  </si>
  <si>
    <t>Current assets rounding adjustment</t>
  </si>
  <si>
    <t>Parent equity rounding adjustment</t>
  </si>
  <si>
    <t>Non-current liabilities rounding adjustment</t>
  </si>
  <si>
    <t>Sources: 2025 URD (p. 261); 2024 URD (p. 247).</t>
  </si>
  <si>
    <t>Free cash flow is calculated from rounded disclosed components; subtotal differences of €0.1m are presentation rounding.</t>
  </si>
  <si>
    <t>CFO rounding adjustment</t>
  </si>
  <si>
    <t>Investing subtotal rounding adjustment</t>
  </si>
  <si>
    <t>Cash reconciliation check</t>
  </si>
  <si>
    <t>Net change rounding adjustment</t>
  </si>
  <si>
    <t>Sources: 2025 URD business review pp. 250-251 and Notes 3.1.1, 3.4-3.5 (pp. 270, 273-274); 2024 URD business review pp. 236-237 and Notes 3.1.1, 3.5 (pp. 255, 259).</t>
  </si>
  <si>
    <t>Return on equity (avg. parent equity)</t>
  </si>
  <si>
    <t>Return on assets (avg. total assets)</t>
  </si>
  <si>
    <t>ROIC (avg. invested capital, approx.)</t>
  </si>
  <si>
    <t>Net debt / EBITDA</t>
  </si>
  <si>
    <t>Payout ratio (DPS / basic EPS)</t>
  </si>
  <si>
    <t>Sources: Formula-driven from the financial statements; organic growth and workforce are hardcoded company disclosures.</t>
  </si>
  <si>
    <t>ROE and ROA use average balances; FY2023 is blank because FY2022 opening balances are not included.</t>
  </si>
  <si>
    <t>ROIC = CEBIT × (1 - effective tax rate) / average (parent equity + borrowings - cash).</t>
  </si>
  <si>
    <t>Net debt / EBITDA is negative when the company has a net cash position.</t>
  </si>
  <si>
    <t>Current ratio = current assets / current liabilities.</t>
  </si>
  <si>
    <t>Employee figures: 14,600 in FY2023 and FY2024; 15,000 in FY2025.</t>
  </si>
  <si>
    <t>bioMérieux — Sources and Methodology</t>
  </si>
  <si>
    <t>Ref.</t>
  </si>
  <si>
    <t>Document</t>
  </si>
  <si>
    <t>Date</t>
  </si>
  <si>
    <t>Use in this workbook</t>
  </si>
  <si>
    <t>[1]</t>
  </si>
  <si>
    <t>bioMérieux 2025 Universal Registration Document</t>
  </si>
  <si>
    <t>Filed 16 March 2026</t>
  </si>
  <si>
    <t>FY2025/FY2024 audited statements: income statement p. 258, balance sheet p. 260, cash flow p. 261; business review pp. 250-251; revenue notes pp. 270 and 273-274.</t>
  </si>
  <si>
    <t>[2]</t>
  </si>
  <si>
    <t>bioMérieux 2024 Universal Registration Document</t>
  </si>
  <si>
    <t>Filed 21 March 2025</t>
  </si>
  <si>
    <t>FY2024/FY2023 audited statements: income statement p. 244, balance sheet p. 246, cash flow p. 247; business review pp. 236-237; revenue notes pp. 255 and 259.</t>
  </si>
  <si>
    <t>[3]</t>
  </si>
  <si>
    <t>bioMérieux FY2025 Results Presentation / Results Materials</t>
  </si>
  <si>
    <t>27 February 2026</t>
  </si>
  <si>
    <t>Adjusted net income and diluted adjusted EPS; FY2025 operating highlights and guidance.</t>
  </si>
  <si>
    <t>[4]</t>
  </si>
  <si>
    <t>bioMérieux 2023 Annual Report</t>
  </si>
  <si>
    <t>2024 publication</t>
  </si>
  <si>
    <t>FY2023 workforce disclosure: approximately 14,600 team members.</t>
  </si>
  <si>
    <t>[5]</t>
  </si>
  <si>
    <t>Author calculations</t>
  </si>
  <si>
    <t>Current workbook</t>
  </si>
  <si>
    <t>Derived subtotals, margins, growth, returns, leverage, liquidity and statement checks; rounding adjustments are shown transparently.</t>
  </si>
  <si>
    <t>Methodology notes</t>
  </si>
  <si>
    <t>• All figures are in euros (€ millions) unless otherwise stated.</t>
  </si>
  <si>
    <t>• Financial year: year ended 31 December; columns run chronologically from FY2023A to FY2025A.</t>
  </si>
  <si>
    <t>• Blue-font cells are hardcoded source data; black-font cells are formulas; green-font cells link to another worksheet.</t>
  </si>
  <si>
    <t>• FY2023 CEBIT is €609.6m after a €0.1m presentation-rounding adjustment; bioMérieux reports this as €610m in its overview.</t>
  </si>
  <si>
    <t>• The cash flow statement contains €0.1m rounding differences because source components are disclosed to one decimal place.</t>
  </si>
  <si>
    <t>• This workbook is for educational and portfolio purposes only and does not constitute investment advice.</t>
  </si>
</sst>
</file>

<file path=xl/styles.xml><?xml version="1.0" encoding="utf-8"?>
<styleSheet xmlns="http://schemas.openxmlformats.org/spreadsheetml/2006/main">
  <numFmts count="8">
    <numFmt numFmtId="164" formatCode="#,##0.0"/>
    <numFmt numFmtId="167" formatCode="0.00\x"/>
    <numFmt numFmtId="168" formatCode="#,##0.0;[Red]\(#,##0.0\);\-"/>
    <numFmt numFmtId="169" formatCode="0.0%;[Red]\(0.0%\);\-"/>
    <numFmt numFmtId="170" formatCode="\€0.00;[Red]\(\€0.00\);\-"/>
    <numFmt numFmtId="171" formatCode="0.0\x;[Red]\(0.0\x\);\-"/>
    <numFmt numFmtId="172" formatCode="#,##0;[Red]\(#,##0\);\-"/>
    <numFmt numFmtId="173" formatCode=";;;"/>
  </numFmts>
  <fonts count="18">
    <font>
      <sz val="11"/>
      <color theme="1"/>
      <name val="Calibri"/>
    </font>
    <font>
      <b/>
      <sz val="22"/>
      <color rgb="FF1B3A5C"/>
      <name val="Arial"/>
    </font>
    <font>
      <b/>
      <sz val="16"/>
      <color rgb="FF2E75B6"/>
      <name val="Arial"/>
    </font>
    <font>
      <sz val="12"/>
      <color rgb="FF2E75B6"/>
      <name val="Arial"/>
    </font>
    <font>
      <b/>
      <sz val="10"/>
      <name val="Arial"/>
    </font>
    <font>
      <sz val="10"/>
      <name val="Arial"/>
    </font>
    <font>
      <i/>
      <sz val="9"/>
      <color rgb="FF666666"/>
      <name val="Arial"/>
    </font>
    <font>
      <b/>
      <sz val="14"/>
      <color rgb="FF1B3A5C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1B3A5C"/>
      <name val="Arial"/>
    </font>
    <font>
      <b/>
      <sz val="11"/>
      <color rgb="FF1B3A5C"/>
      <name val="Arial"/>
    </font>
    <font>
      <sz val="10"/>
      <color rgb="FF000000"/>
      <name val="Arial"/>
    </font>
    <font>
      <sz val="10"/>
      <color rgb="FF6B7280"/>
      <name val="Arial"/>
    </font>
    <font>
      <sz val="11"/>
      <color rgb="FF000000"/>
      <name val="Calibri"/>
    </font>
    <font>
      <sz val="11"/>
      <color rgb="FF008000"/>
      <name val="Calibri"/>
    </font>
    <font>
      <sz val="10"/>
      <color rgb="FF008000"/>
      <name val="Arial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B3A5C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1B3A5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vertical="center" wrapText="1"/>
    </xf>
    <xf numFmtId="0" fontId="5" fillId="0" borderId="0" xfId="0" applyFont="1" applyAlignment="1"/>
    <xf numFmtId="0" fontId="4" fillId="2" borderId="2" xfId="0" applyFont="1" applyFill="1" applyBorder="1"/>
    <xf numFmtId="0" fontId="5" fillId="2" borderId="0" xfId="0" applyFont="1" applyFill="1" applyAlignment="1"/>
    <xf numFmtId="0" fontId="4" fillId="0" borderId="2" xfId="0" applyFont="1" applyBorder="1"/>
    <xf numFmtId="0" fontId="5" fillId="2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horizontal="center"/>
    </xf>
    <xf numFmtId="0" fontId="11" fillId="0" borderId="0" xfId="0" applyFont="1"/>
    <xf numFmtId="14" fontId="5" fillId="0" borderId="0" xfId="0" applyNumberFormat="1" applyFont="1" applyAlignment="1">
      <alignment horizontal="left"/>
    </xf>
    <xf numFmtId="0" fontId="13" fillId="0" borderId="0" xfId="0" applyNumberFormat="1" applyFont="1" applyFill="1" applyBorder="1"/>
    <xf numFmtId="0" fontId="15" fillId="0" borderId="0" xfId="0" applyNumberFormat="1" applyFont="1" applyFill="1" applyBorder="1"/>
    <xf numFmtId="0" fontId="16" fillId="0" borderId="0" xfId="0" applyNumberFormat="1" applyFont="1" applyFill="1" applyBorder="1" applyAlignment="1">
      <alignment horizontal="center"/>
    </xf>
    <xf numFmtId="0" fontId="16" fillId="4" borderId="0" xfId="0" applyNumberFormat="1" applyFont="1" applyFill="1" applyBorder="1" applyAlignment="1">
      <alignment horizontal="center"/>
    </xf>
    <xf numFmtId="164" fontId="16" fillId="0" borderId="0" xfId="0" applyNumberFormat="1" applyFont="1" applyFill="1" applyBorder="1" applyAlignment="1">
      <alignment horizontal="center"/>
    </xf>
    <xf numFmtId="167" fontId="16" fillId="0" borderId="0" xfId="0" applyNumberFormat="1" applyFont="1" applyFill="1" applyBorder="1" applyAlignment="1">
      <alignment horizontal="center"/>
    </xf>
    <xf numFmtId="0" fontId="8" fillId="3" borderId="0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168" fontId="9" fillId="2" borderId="1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2" fillId="2" borderId="2" xfId="0" applyNumberFormat="1" applyFont="1" applyFill="1" applyBorder="1" applyAlignment="1">
      <alignment horizontal="center"/>
    </xf>
    <xf numFmtId="168" fontId="12" fillId="0" borderId="0" xfId="0" applyNumberFormat="1" applyFont="1" applyFill="1" applyBorder="1" applyAlignment="1">
      <alignment horizontal="center"/>
    </xf>
    <xf numFmtId="168" fontId="9" fillId="2" borderId="0" xfId="0" applyNumberFormat="1" applyFont="1" applyFill="1" applyBorder="1" applyAlignment="1">
      <alignment horizontal="center"/>
    </xf>
    <xf numFmtId="168" fontId="12" fillId="0" borderId="1" xfId="0" applyNumberFormat="1" applyFont="1" applyFill="1" applyBorder="1" applyAlignment="1">
      <alignment horizontal="center"/>
    </xf>
    <xf numFmtId="168" fontId="13" fillId="0" borderId="0" xfId="0" applyNumberFormat="1" applyFont="1" applyFill="1" applyBorder="1" applyAlignment="1">
      <alignment horizontal="center"/>
    </xf>
    <xf numFmtId="168" fontId="12" fillId="0" borderId="2" xfId="0" applyNumberFormat="1" applyFont="1" applyFill="1" applyBorder="1" applyAlignment="1">
      <alignment horizontal="center"/>
    </xf>
    <xf numFmtId="168" fontId="9" fillId="0" borderId="1" xfId="0" applyNumberFormat="1" applyFont="1" applyFill="1" applyBorder="1" applyAlignment="1">
      <alignment horizontal="center"/>
    </xf>
    <xf numFmtId="168" fontId="0" fillId="0" borderId="0" xfId="0" applyNumberFormat="1" applyFont="1" applyFill="1" applyBorder="1"/>
    <xf numFmtId="168" fontId="9" fillId="4" borderId="0" xfId="0" applyNumberFormat="1" applyFont="1" applyFill="1" applyBorder="1" applyAlignment="1">
      <alignment horizontal="center"/>
    </xf>
    <xf numFmtId="168" fontId="14" fillId="0" borderId="0" xfId="0" applyNumberFormat="1" applyFont="1" applyFill="1" applyBorder="1"/>
    <xf numFmtId="168" fontId="9" fillId="0" borderId="2" xfId="0" applyNumberFormat="1" applyFont="1" applyFill="1" applyBorder="1" applyAlignment="1">
      <alignment horizontal="center"/>
    </xf>
    <xf numFmtId="168" fontId="8" fillId="3" borderId="0" xfId="0" applyNumberFormat="1" applyFont="1" applyFill="1" applyBorder="1" applyAlignment="1">
      <alignment horizontal="center" vertical="center" wrapText="1"/>
    </xf>
    <xf numFmtId="169" fontId="12" fillId="0" borderId="0" xfId="0" applyNumberFormat="1" applyFont="1" applyFill="1" applyBorder="1" applyAlignment="1">
      <alignment horizontal="center"/>
    </xf>
    <xf numFmtId="169" fontId="12" fillId="2" borderId="0" xfId="0" applyNumberFormat="1" applyFont="1" applyFill="1" applyBorder="1" applyAlignment="1">
      <alignment horizontal="center"/>
    </xf>
    <xf numFmtId="170" fontId="9" fillId="2" borderId="0" xfId="0" applyNumberFormat="1" applyFont="1" applyFill="1" applyBorder="1" applyAlignment="1">
      <alignment horizontal="center"/>
    </xf>
    <xf numFmtId="170" fontId="9" fillId="0" borderId="0" xfId="0" applyNumberFormat="1" applyFont="1" applyFill="1" applyBorder="1" applyAlignment="1">
      <alignment horizontal="center"/>
    </xf>
    <xf numFmtId="169" fontId="16" fillId="0" borderId="0" xfId="0" applyNumberFormat="1" applyFont="1" applyFill="1" applyBorder="1" applyAlignment="1">
      <alignment horizontal="center"/>
    </xf>
    <xf numFmtId="169" fontId="9" fillId="0" borderId="0" xfId="0" applyNumberFormat="1" applyFont="1" applyFill="1" applyBorder="1" applyAlignment="1">
      <alignment horizontal="center"/>
    </xf>
    <xf numFmtId="171" fontId="16" fillId="0" borderId="0" xfId="0" applyNumberFormat="1" applyFont="1" applyFill="1" applyBorder="1" applyAlignment="1">
      <alignment horizontal="center"/>
    </xf>
    <xf numFmtId="170" fontId="16" fillId="0" borderId="0" xfId="0" applyNumberFormat="1" applyFont="1" applyFill="1" applyBorder="1" applyAlignment="1">
      <alignment horizontal="center"/>
    </xf>
    <xf numFmtId="172" fontId="9" fillId="0" borderId="0" xfId="0" applyNumberFormat="1" applyFont="1" applyFill="1" applyBorder="1" applyAlignment="1">
      <alignment horizontal="center"/>
    </xf>
    <xf numFmtId="168" fontId="16" fillId="0" borderId="2" xfId="0" applyNumberFormat="1" applyFont="1" applyFill="1" applyBorder="1" applyAlignment="1">
      <alignment horizontal="center"/>
    </xf>
    <xf numFmtId="0" fontId="14" fillId="0" borderId="0" xfId="0" applyNumberFormat="1" applyFont="1" applyFill="1" applyBorder="1"/>
    <xf numFmtId="173" fontId="17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1"/>
    </xf>
    <xf numFmtId="0" fontId="6" fillId="0" borderId="0" xfId="0" applyFont="1" applyBorder="1"/>
  </cellXfs>
  <cellStyles count="1">
    <cellStyle name="Normal" xfId="0" builtinId="0"/>
  </cellStyles>
  <dxfs count="10"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008000"/>
      </font>
      <fill>
        <patternFill patternType="solid">
          <bgColor rgb="FFE8F5E9"/>
        </patternFill>
      </fill>
    </dxf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008000"/>
      </font>
      <fill>
        <patternFill patternType="solid">
          <bgColor rgb="FFE8F5E9"/>
        </patternFill>
      </fill>
    </dxf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008000"/>
      </font>
      <fill>
        <patternFill patternType="solid">
          <bgColor rgb="FFE8F5E9"/>
        </patternFill>
      </fill>
    </dxf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008000"/>
      </font>
      <fill>
        <patternFill patternType="solid">
          <bgColor rgb="FFE8F5E9"/>
        </patternFill>
      </fill>
    </dxf>
    <dxf>
      <font>
        <b/>
        <color rgb="FFC00000"/>
      </font>
      <fill>
        <patternFill patternType="solid">
          <bgColor rgb="FFFDE9E7"/>
        </patternFill>
      </fill>
    </dxf>
    <dxf>
      <font>
        <b/>
        <color rgb="FF008000"/>
      </font>
      <fill>
        <patternFill patternType="solid">
          <bgColor rgb="FFE8F5E9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3A5C"/>
  </sheetPr>
  <dimension ref="B2:C20"/>
  <sheetViews>
    <sheetView showGridLines="0" workbookViewId="0"/>
  </sheetViews>
  <sheetFormatPr defaultColWidth="8.6640625" defaultRowHeight="14.4"/>
  <cols>
    <col min="1" max="1" width="5" customWidth="1"/>
    <col min="2" max="2" width="30" customWidth="1"/>
    <col min="3" max="3" width="40" customWidth="1"/>
  </cols>
  <sheetData>
    <row r="2" spans="2:3" ht="28.2">
      <c r="B2" s="1" t="s">
        <v>0</v>
      </c>
    </row>
    <row r="3" spans="2:3" ht="21">
      <c r="B3" s="2" t="s">
        <v>1</v>
      </c>
    </row>
    <row r="4" spans="2:3" ht="15.6">
      <c r="B4" s="3" t="s">
        <v>2</v>
      </c>
    </row>
    <row r="7" spans="2:3">
      <c r="B7" s="4" t="s">
        <v>3</v>
      </c>
      <c r="C7" s="5" t="s">
        <v>0</v>
      </c>
    </row>
    <row r="8" spans="2:3">
      <c r="B8" s="6" t="s">
        <v>4</v>
      </c>
      <c r="C8" s="7" t="s">
        <v>5</v>
      </c>
    </row>
    <row r="9" spans="2:3">
      <c r="B9" s="4" t="s">
        <v>6</v>
      </c>
      <c r="C9" s="5" t="s">
        <v>7</v>
      </c>
    </row>
    <row r="10" spans="2:3">
      <c r="B10" s="6" t="s">
        <v>8</v>
      </c>
      <c r="C10" s="7" t="s">
        <v>9</v>
      </c>
    </row>
    <row r="11" spans="2:3">
      <c r="B11" s="4" t="s">
        <v>10</v>
      </c>
      <c r="C11" s="5" t="s">
        <v>11</v>
      </c>
    </row>
    <row r="12" spans="2:3">
      <c r="B12" s="6" t="s">
        <v>12</v>
      </c>
      <c r="C12" s="7" t="s">
        <v>13</v>
      </c>
    </row>
    <row r="13" spans="2:3">
      <c r="B13" s="4" t="s">
        <v>14</v>
      </c>
      <c r="C13" s="5" t="s">
        <v>15</v>
      </c>
    </row>
    <row r="14" spans="2:3">
      <c r="B14" s="6" t="s">
        <v>16</v>
      </c>
      <c r="C14" s="7" t="s">
        <v>17</v>
      </c>
    </row>
    <row r="16" spans="2:3">
      <c r="B16" s="8" t="s">
        <v>18</v>
      </c>
      <c r="C16" s="9" t="s">
        <v>19</v>
      </c>
    </row>
    <row r="17" spans="2:3">
      <c r="B17" s="8" t="s">
        <v>20</v>
      </c>
      <c r="C17" s="21">
        <v>46227</v>
      </c>
    </row>
    <row r="19" spans="2:3">
      <c r="B19" s="10" t="s">
        <v>21</v>
      </c>
    </row>
    <row r="20" spans="2:3">
      <c r="B20" s="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D60"/>
  <sheetViews>
    <sheetView showGridLines="0" topLeftCell="A19" workbookViewId="0">
      <selection activeCell="E37" sqref="E37"/>
    </sheetView>
  </sheetViews>
  <sheetFormatPr defaultColWidth="8.6640625" defaultRowHeight="14.4"/>
  <cols>
    <col min="1" max="1" width="48" customWidth="1"/>
    <col min="2" max="4" width="16" customWidth="1"/>
  </cols>
  <sheetData>
    <row r="1" spans="1:4" ht="17.399999999999999">
      <c r="A1" s="11" t="s">
        <v>23</v>
      </c>
    </row>
    <row r="2" spans="1:4">
      <c r="A2" s="10" t="s">
        <v>24</v>
      </c>
    </row>
    <row r="4" spans="1:4">
      <c r="A4" s="12"/>
      <c r="B4" s="12" t="s">
        <v>175</v>
      </c>
      <c r="C4" s="12" t="s">
        <v>176</v>
      </c>
      <c r="D4" s="12" t="s">
        <v>177</v>
      </c>
    </row>
    <row r="5" spans="1:4">
      <c r="A5" s="6" t="s">
        <v>25</v>
      </c>
      <c r="B5" s="34">
        <v>3674.7</v>
      </c>
      <c r="C5" s="34">
        <v>3979.9</v>
      </c>
      <c r="D5" s="34">
        <v>4069.8</v>
      </c>
    </row>
    <row r="6" spans="1:4">
      <c r="A6" s="13" t="s">
        <v>26</v>
      </c>
      <c r="B6" s="35">
        <v>-1617.4</v>
      </c>
      <c r="C6" s="35">
        <v>-1764.6</v>
      </c>
      <c r="D6" s="35">
        <v>-1761</v>
      </c>
    </row>
    <row r="7" spans="1:4">
      <c r="A7" s="14" t="s">
        <v>27</v>
      </c>
      <c r="B7" s="36">
        <f>B5+B6</f>
        <v>2057.2999999999997</v>
      </c>
      <c r="C7" s="36">
        <f>C5+C6</f>
        <v>2215.3000000000002</v>
      </c>
      <c r="D7" s="36">
        <f>D5+D6</f>
        <v>2308.8000000000002</v>
      </c>
    </row>
    <row r="8" spans="1:4">
      <c r="A8" s="13" t="s">
        <v>28</v>
      </c>
      <c r="B8" s="48">
        <f>B7/B5</f>
        <v>0.55985522627697493</v>
      </c>
      <c r="C8" s="48">
        <f>C7/C5</f>
        <v>0.55662202567903718</v>
      </c>
      <c r="D8" s="48">
        <f>D7/D5</f>
        <v>0.56730060445230723</v>
      </c>
    </row>
    <row r="9" spans="1:4">
      <c r="A9" s="9"/>
      <c r="B9" s="35"/>
      <c r="C9" s="35"/>
      <c r="D9" s="35"/>
    </row>
    <row r="10" spans="1:4">
      <c r="A10" s="13" t="s">
        <v>29</v>
      </c>
      <c r="B10" s="35">
        <v>33</v>
      </c>
      <c r="C10" s="35">
        <v>46.9</v>
      </c>
      <c r="D10" s="35">
        <v>37.799999999999997</v>
      </c>
    </row>
    <row r="11" spans="1:4">
      <c r="A11" s="15" t="s">
        <v>30</v>
      </c>
      <c r="B11" s="38">
        <v>-725.5</v>
      </c>
      <c r="C11" s="38">
        <v>-783.8</v>
      </c>
      <c r="D11" s="38">
        <v>-791.2</v>
      </c>
    </row>
    <row r="12" spans="1:4">
      <c r="A12" s="13" t="s">
        <v>31</v>
      </c>
      <c r="B12" s="35">
        <v>-295</v>
      </c>
      <c r="C12" s="35">
        <v>-313.8</v>
      </c>
      <c r="D12" s="35">
        <v>-320</v>
      </c>
    </row>
    <row r="13" spans="1:4">
      <c r="A13" s="15" t="s">
        <v>32</v>
      </c>
      <c r="B13" s="38">
        <v>-460.1</v>
      </c>
      <c r="C13" s="38">
        <v>-491.5</v>
      </c>
      <c r="D13" s="38">
        <v>-507.4</v>
      </c>
    </row>
    <row r="14" spans="1:4">
      <c r="A14" s="4" t="s">
        <v>33</v>
      </c>
      <c r="B14" s="39">
        <f>SUM(B11:B13)+B46</f>
        <v>-1480.6999999999998</v>
      </c>
      <c r="C14" s="39">
        <f>SUM(C11:C13)+C46</f>
        <v>-1589.1</v>
      </c>
      <c r="D14" s="39">
        <f>SUM(D11:D13)+D46</f>
        <v>-1618.6999999999998</v>
      </c>
    </row>
    <row r="15" spans="1:4">
      <c r="A15" s="22"/>
      <c r="B15" s="40"/>
      <c r="C15" s="40"/>
      <c r="D15" s="40"/>
    </row>
    <row r="16" spans="1:4">
      <c r="A16" s="16" t="s">
        <v>34</v>
      </c>
      <c r="B16" s="41">
        <f>B7+B10+B14</f>
        <v>609.59999999999991</v>
      </c>
      <c r="C16" s="41">
        <f>C7+C10+C14</f>
        <v>673.10000000000036</v>
      </c>
      <c r="D16" s="41">
        <f>D7+D10+D14</f>
        <v>727.90000000000055</v>
      </c>
    </row>
    <row r="17" spans="1:4">
      <c r="A17" s="15" t="s">
        <v>35</v>
      </c>
      <c r="B17" s="49">
        <f>B16/B5</f>
        <v>0.16589109315046124</v>
      </c>
      <c r="C17" s="49">
        <f>C16/C5</f>
        <v>0.1691248523832258</v>
      </c>
      <c r="D17" s="49">
        <f>D16/D5</f>
        <v>0.17885399773944677</v>
      </c>
    </row>
    <row r="18" spans="1:4">
      <c r="A18" s="9"/>
      <c r="B18" s="35"/>
      <c r="C18" s="35"/>
      <c r="D18" s="35"/>
    </row>
    <row r="19" spans="1:4">
      <c r="A19" s="15" t="s">
        <v>36</v>
      </c>
      <c r="B19" s="38">
        <v>-170.6</v>
      </c>
      <c r="C19" s="38">
        <v>-58.4</v>
      </c>
      <c r="D19" s="38">
        <v>-166.8</v>
      </c>
    </row>
    <row r="20" spans="1:4">
      <c r="A20" s="4" t="s">
        <v>37</v>
      </c>
      <c r="B20" s="39">
        <f>B16+B19</f>
        <v>438.99999999999989</v>
      </c>
      <c r="C20" s="39">
        <f>C16+C19</f>
        <v>614.70000000000039</v>
      </c>
      <c r="D20" s="39">
        <f>D16+D19</f>
        <v>561.10000000000059</v>
      </c>
    </row>
    <row r="21" spans="1:4">
      <c r="A21" s="15" t="s">
        <v>38</v>
      </c>
      <c r="B21" s="38">
        <v>0</v>
      </c>
      <c r="C21" s="38">
        <v>-25.9</v>
      </c>
      <c r="D21" s="38">
        <v>-39.799999999999997</v>
      </c>
    </row>
    <row r="22" spans="1:4">
      <c r="A22" s="16" t="s">
        <v>39</v>
      </c>
      <c r="B22" s="41">
        <f>B20+B21</f>
        <v>438.99999999999989</v>
      </c>
      <c r="C22" s="41">
        <f>C20+C21</f>
        <v>588.80000000000041</v>
      </c>
      <c r="D22" s="41">
        <f>D20+D21</f>
        <v>521.30000000000064</v>
      </c>
    </row>
    <row r="23" spans="1:4">
      <c r="A23" s="9"/>
      <c r="B23" s="35"/>
      <c r="C23" s="35"/>
      <c r="D23" s="35"/>
    </row>
    <row r="24" spans="1:4">
      <c r="A24" s="13" t="s">
        <v>40</v>
      </c>
      <c r="B24" s="35">
        <v>1.4</v>
      </c>
      <c r="C24" s="35">
        <v>-4.9000000000000004</v>
      </c>
      <c r="D24" s="35">
        <v>13.2</v>
      </c>
    </row>
    <row r="25" spans="1:4">
      <c r="A25" s="15" t="s">
        <v>41</v>
      </c>
      <c r="B25" s="38">
        <v>-3.1</v>
      </c>
      <c r="C25" s="38">
        <v>-4.5</v>
      </c>
      <c r="D25" s="38">
        <v>-8.9</v>
      </c>
    </row>
    <row r="26" spans="1:4">
      <c r="A26" s="13" t="s">
        <v>42</v>
      </c>
      <c r="B26" s="35">
        <v>-114.5</v>
      </c>
      <c r="C26" s="35">
        <v>-154.30000000000001</v>
      </c>
      <c r="D26" s="35">
        <v>-128.80000000000001</v>
      </c>
    </row>
    <row r="27" spans="1:4">
      <c r="A27" s="15" t="s">
        <v>43</v>
      </c>
      <c r="B27" s="38">
        <v>0</v>
      </c>
      <c r="C27" s="38">
        <v>0</v>
      </c>
      <c r="D27" s="38">
        <v>-0.1</v>
      </c>
    </row>
    <row r="28" spans="1:4">
      <c r="A28" s="4" t="s">
        <v>44</v>
      </c>
      <c r="B28" s="39">
        <f>SUM(B22,B24:B27)+B45</f>
        <v>322.79999999999984</v>
      </c>
      <c r="C28" s="39">
        <f>SUM(C22,C24:C27)+C45</f>
        <v>425.10000000000042</v>
      </c>
      <c r="D28" s="39">
        <f>SUM(D22,D24:D27)+D45</f>
        <v>396.90000000000066</v>
      </c>
    </row>
    <row r="29" spans="1:4">
      <c r="A29" s="15" t="s">
        <v>45</v>
      </c>
      <c r="B29" s="38">
        <v>-34.799999999999997</v>
      </c>
      <c r="C29" s="38">
        <v>-7.1</v>
      </c>
      <c r="D29" s="38">
        <v>-0.6</v>
      </c>
    </row>
    <row r="30" spans="1:4">
      <c r="A30" s="16" t="s">
        <v>46</v>
      </c>
      <c r="B30" s="41">
        <f>B28-B29</f>
        <v>357.59999999999985</v>
      </c>
      <c r="C30" s="41">
        <f>C28-C29</f>
        <v>432.20000000000044</v>
      </c>
      <c r="D30" s="41">
        <f>D28-D29</f>
        <v>397.50000000000068</v>
      </c>
    </row>
    <row r="31" spans="1:4">
      <c r="A31" s="15" t="s">
        <v>47</v>
      </c>
      <c r="B31" s="49">
        <f>B30/B5</f>
        <v>9.7314066454404408E-2</v>
      </c>
      <c r="C31" s="49">
        <f>C30/C5</f>
        <v>0.10859569335912973</v>
      </c>
      <c r="D31" s="49">
        <f>D30/D5</f>
        <v>9.7670647206251085E-2</v>
      </c>
    </row>
    <row r="32" spans="1:4">
      <c r="A32" s="9"/>
      <c r="B32" s="35"/>
      <c r="C32" s="35"/>
      <c r="D32" s="35"/>
    </row>
    <row r="33" spans="1:4">
      <c r="A33" s="17" t="s">
        <v>48</v>
      </c>
      <c r="B33" s="50">
        <v>3.03</v>
      </c>
      <c r="C33" s="50">
        <v>3.67</v>
      </c>
      <c r="D33" s="50">
        <v>3.37</v>
      </c>
    </row>
    <row r="34" spans="1:4">
      <c r="A34" s="9" t="s">
        <v>49</v>
      </c>
      <c r="B34" s="51">
        <v>3.01</v>
      </c>
      <c r="C34" s="51">
        <v>3.64</v>
      </c>
      <c r="D34" s="51">
        <v>3.34</v>
      </c>
    </row>
    <row r="35" spans="1:4">
      <c r="A35" s="17" t="s">
        <v>50</v>
      </c>
      <c r="B35" s="50"/>
      <c r="C35" s="50">
        <v>4.25</v>
      </c>
      <c r="D35" s="50">
        <v>4.6399999999999997</v>
      </c>
    </row>
    <row r="36" spans="1:4">
      <c r="A36" s="9"/>
      <c r="B36" s="35"/>
      <c r="C36" s="35"/>
      <c r="D36" s="35"/>
    </row>
    <row r="37" spans="1:4">
      <c r="A37" s="6" t="s">
        <v>51</v>
      </c>
      <c r="B37" s="34"/>
      <c r="C37" s="34">
        <v>504.3</v>
      </c>
      <c r="D37" s="34">
        <v>551.9</v>
      </c>
    </row>
    <row r="38" spans="1:4">
      <c r="A38" s="4" t="s">
        <v>52</v>
      </c>
      <c r="B38" s="42">
        <v>827.4</v>
      </c>
      <c r="C38" s="42">
        <v>913.9</v>
      </c>
      <c r="D38" s="42">
        <v>959.7</v>
      </c>
    </row>
    <row r="39" spans="1:4">
      <c r="A39" s="15" t="s">
        <v>53</v>
      </c>
      <c r="B39" s="49">
        <f>B38/B5</f>
        <v>0.22516123765205323</v>
      </c>
      <c r="C39" s="49">
        <f>C38/C5</f>
        <v>0.22962888514786803</v>
      </c>
      <c r="D39" s="49">
        <f>D38/D5</f>
        <v>0.23581011351909184</v>
      </c>
    </row>
    <row r="40" spans="1:4">
      <c r="B40" s="43"/>
      <c r="C40" s="43"/>
      <c r="D40" s="43"/>
    </row>
    <row r="41" spans="1:4">
      <c r="A41" s="10" t="s">
        <v>178</v>
      </c>
      <c r="B41" s="43"/>
      <c r="C41" s="43"/>
      <c r="D41" s="43"/>
    </row>
    <row r="42" spans="1:4">
      <c r="A42" s="10" t="s">
        <v>54</v>
      </c>
      <c r="B42" s="43"/>
      <c r="C42" s="43"/>
      <c r="D42" s="43"/>
    </row>
    <row r="43" spans="1:4">
      <c r="A43" s="10" t="s">
        <v>55</v>
      </c>
      <c r="B43" s="43"/>
      <c r="C43" s="43"/>
      <c r="D43" s="43"/>
    </row>
    <row r="44" spans="1:4">
      <c r="A44" s="10" t="s">
        <v>179</v>
      </c>
      <c r="B44" s="43"/>
      <c r="C44" s="43"/>
      <c r="D44" s="43"/>
    </row>
    <row r="45" spans="1:4" ht="3" customHeight="1">
      <c r="A45" s="59" t="s">
        <v>180</v>
      </c>
      <c r="B45" s="59">
        <v>0</v>
      </c>
      <c r="C45" s="59">
        <v>0</v>
      </c>
      <c r="D45" s="59">
        <v>0.2</v>
      </c>
    </row>
    <row r="46" spans="1:4" ht="3" customHeight="1">
      <c r="A46" s="59" t="s">
        <v>181</v>
      </c>
      <c r="B46" s="59">
        <v>-0.1</v>
      </c>
      <c r="C46" s="59">
        <v>0</v>
      </c>
      <c r="D46" s="59">
        <v>-0.1</v>
      </c>
    </row>
    <row r="47" spans="1:4">
      <c r="B47" s="43"/>
      <c r="C47" s="43"/>
      <c r="D47" s="43"/>
    </row>
    <row r="48" spans="1:4">
      <c r="B48" s="43"/>
      <c r="C48" s="43"/>
      <c r="D48" s="43"/>
    </row>
    <row r="49" spans="2:4">
      <c r="B49" s="43"/>
      <c r="C49" s="43"/>
      <c r="D49" s="43"/>
    </row>
    <row r="50" spans="2:4">
      <c r="B50" s="43"/>
      <c r="C50" s="43"/>
      <c r="D50" s="43"/>
    </row>
    <row r="51" spans="2:4">
      <c r="B51" s="43"/>
      <c r="C51" s="43"/>
      <c r="D51" s="43"/>
    </row>
    <row r="52" spans="2:4">
      <c r="B52" s="43"/>
      <c r="C52" s="43"/>
      <c r="D52" s="43"/>
    </row>
    <row r="53" spans="2:4">
      <c r="B53" s="43"/>
      <c r="C53" s="43"/>
      <c r="D53" s="43"/>
    </row>
    <row r="54" spans="2:4">
      <c r="B54" s="43"/>
      <c r="C54" s="43"/>
      <c r="D54" s="43"/>
    </row>
    <row r="55" spans="2:4">
      <c r="B55" s="43"/>
      <c r="C55" s="43"/>
      <c r="D55" s="43"/>
    </row>
    <row r="56" spans="2:4">
      <c r="B56" s="43"/>
      <c r="C56" s="43"/>
      <c r="D56" s="43"/>
    </row>
    <row r="57" spans="2:4">
      <c r="B57" s="43"/>
      <c r="C57" s="43"/>
      <c r="D57" s="43"/>
    </row>
    <row r="58" spans="2:4">
      <c r="B58" s="43"/>
      <c r="C58" s="43"/>
      <c r="D58" s="43"/>
    </row>
    <row r="59" spans="2:4">
      <c r="B59" s="43"/>
      <c r="C59" s="43"/>
      <c r="D59" s="43"/>
    </row>
    <row r="60" spans="2:4">
      <c r="B60" s="43"/>
      <c r="C60" s="43"/>
      <c r="D60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</sheetPr>
  <dimension ref="A1:D60"/>
  <sheetViews>
    <sheetView showGridLines="0" topLeftCell="A34" workbookViewId="0">
      <selection activeCell="E34" sqref="E34"/>
    </sheetView>
  </sheetViews>
  <sheetFormatPr defaultColWidth="8.6640625" defaultRowHeight="14.4"/>
  <cols>
    <col min="1" max="1" width="48" customWidth="1"/>
    <col min="2" max="4" width="16" customWidth="1"/>
  </cols>
  <sheetData>
    <row r="1" spans="1:4" ht="17.399999999999999">
      <c r="A1" s="11" t="s">
        <v>56</v>
      </c>
    </row>
    <row r="2" spans="1:4">
      <c r="A2" s="10" t="s">
        <v>57</v>
      </c>
    </row>
    <row r="4" spans="1:4">
      <c r="A4" s="12"/>
      <c r="B4" s="12" t="s">
        <v>175</v>
      </c>
      <c r="C4" s="12" t="s">
        <v>176</v>
      </c>
      <c r="D4" s="12" t="s">
        <v>177</v>
      </c>
    </row>
    <row r="5" spans="1:4">
      <c r="A5" s="18" t="s">
        <v>58</v>
      </c>
      <c r="B5" s="44"/>
      <c r="C5" s="44"/>
      <c r="D5" s="44"/>
    </row>
    <row r="6" spans="1:4">
      <c r="A6" s="13" t="s">
        <v>59</v>
      </c>
      <c r="B6" s="35">
        <v>698.8</v>
      </c>
      <c r="C6" s="35">
        <v>730.4</v>
      </c>
      <c r="D6" s="35">
        <v>727.8</v>
      </c>
    </row>
    <row r="7" spans="1:4">
      <c r="A7" s="13" t="s">
        <v>60</v>
      </c>
      <c r="B7" s="35">
        <v>528.6</v>
      </c>
      <c r="C7" s="35">
        <v>492</v>
      </c>
      <c r="D7" s="35">
        <v>401.5</v>
      </c>
    </row>
    <row r="8" spans="1:4">
      <c r="A8" s="13" t="s">
        <v>61</v>
      </c>
      <c r="B8" s="35">
        <v>1357.1</v>
      </c>
      <c r="C8" s="35">
        <v>1525.4</v>
      </c>
      <c r="D8" s="35">
        <v>1515.9</v>
      </c>
    </row>
    <row r="9" spans="1:4">
      <c r="A9" s="13" t="s">
        <v>62</v>
      </c>
      <c r="B9" s="35">
        <v>148.9</v>
      </c>
      <c r="C9" s="35">
        <v>170.2</v>
      </c>
      <c r="D9" s="35">
        <v>141.30000000000001</v>
      </c>
    </row>
    <row r="10" spans="1:4">
      <c r="A10" s="13" t="s">
        <v>63</v>
      </c>
      <c r="B10" s="35">
        <v>219.4</v>
      </c>
      <c r="C10" s="35">
        <v>195</v>
      </c>
      <c r="D10" s="35">
        <v>128.69999999999999</v>
      </c>
    </row>
    <row r="11" spans="1:4">
      <c r="A11" s="13" t="s">
        <v>64</v>
      </c>
      <c r="B11" s="35">
        <v>0.8</v>
      </c>
      <c r="C11" s="35">
        <v>0.8</v>
      </c>
      <c r="D11" s="35">
        <v>0.7</v>
      </c>
    </row>
    <row r="12" spans="1:4">
      <c r="A12" s="13" t="s">
        <v>65</v>
      </c>
      <c r="B12" s="35">
        <v>7.7</v>
      </c>
      <c r="C12" s="35">
        <v>9.1</v>
      </c>
      <c r="D12" s="35">
        <v>10.3</v>
      </c>
    </row>
    <row r="13" spans="1:4">
      <c r="A13" s="13" t="s">
        <v>66</v>
      </c>
      <c r="B13" s="35">
        <v>92.7</v>
      </c>
      <c r="C13" s="35">
        <v>145.9</v>
      </c>
      <c r="D13" s="35">
        <v>108.1</v>
      </c>
    </row>
    <row r="14" spans="1:4">
      <c r="A14" s="16" t="s">
        <v>67</v>
      </c>
      <c r="B14" s="41">
        <f>SUM(B6:B13)+B50</f>
        <v>3054</v>
      </c>
      <c r="C14" s="41">
        <f>SUM(C6:C13)+C50</f>
        <v>3268.9</v>
      </c>
      <c r="D14" s="41">
        <f>SUM(D6:D13)+D50</f>
        <v>3034.2999999999997</v>
      </c>
    </row>
    <row r="15" spans="1:4">
      <c r="A15" s="9"/>
      <c r="B15" s="35"/>
      <c r="C15" s="35"/>
      <c r="D15" s="35"/>
    </row>
    <row r="16" spans="1:4">
      <c r="A16" s="13" t="s">
        <v>68</v>
      </c>
      <c r="B16" s="35">
        <v>908.5</v>
      </c>
      <c r="C16" s="35">
        <v>1037.3</v>
      </c>
      <c r="D16" s="35">
        <v>959.7</v>
      </c>
    </row>
    <row r="17" spans="1:4">
      <c r="A17" s="13" t="s">
        <v>69</v>
      </c>
      <c r="B17" s="35">
        <v>728.6</v>
      </c>
      <c r="C17" s="35">
        <v>792.3</v>
      </c>
      <c r="D17" s="35">
        <v>766.2</v>
      </c>
    </row>
    <row r="18" spans="1:4">
      <c r="A18" s="13" t="s">
        <v>70</v>
      </c>
      <c r="B18" s="35">
        <v>171.7</v>
      </c>
      <c r="C18" s="35">
        <v>176</v>
      </c>
      <c r="D18" s="35">
        <v>178.5</v>
      </c>
    </row>
    <row r="19" spans="1:4">
      <c r="A19" s="13" t="s">
        <v>71</v>
      </c>
      <c r="B19" s="35">
        <v>29.7</v>
      </c>
      <c r="C19" s="35">
        <v>21.3</v>
      </c>
      <c r="D19" s="35">
        <v>47.8</v>
      </c>
    </row>
    <row r="20" spans="1:4">
      <c r="A20" s="13" t="s">
        <v>72</v>
      </c>
      <c r="B20" s="35">
        <v>14.3</v>
      </c>
      <c r="C20" s="35">
        <v>24.5</v>
      </c>
      <c r="D20" s="35">
        <v>18.399999999999999</v>
      </c>
    </row>
    <row r="21" spans="1:4">
      <c r="A21" s="13" t="s">
        <v>73</v>
      </c>
      <c r="B21" s="35">
        <v>352.4</v>
      </c>
      <c r="C21" s="35">
        <v>449.8</v>
      </c>
      <c r="D21" s="35">
        <v>569.79999999999995</v>
      </c>
    </row>
    <row r="22" spans="1:4">
      <c r="A22" s="16" t="s">
        <v>74</v>
      </c>
      <c r="B22" s="41">
        <f>SUM(B16:B21)+B51</f>
        <v>2205.1999999999998</v>
      </c>
      <c r="C22" s="41">
        <f>SUM(C16:C21)+C51</f>
        <v>2501.1</v>
      </c>
      <c r="D22" s="41">
        <f>SUM(D16:D21)+D51</f>
        <v>2540.4</v>
      </c>
    </row>
    <row r="23" spans="1:4">
      <c r="A23" s="9"/>
      <c r="B23" s="37"/>
      <c r="C23" s="37"/>
      <c r="D23" s="37"/>
    </row>
    <row r="24" spans="1:4">
      <c r="A24" s="16" t="s">
        <v>75</v>
      </c>
      <c r="B24" s="41">
        <f>B14+B22</f>
        <v>5259.2</v>
      </c>
      <c r="C24" s="41">
        <f>C14+C22</f>
        <v>5770</v>
      </c>
      <c r="D24" s="41">
        <f>D14+D22</f>
        <v>5574.7</v>
      </c>
    </row>
    <row r="25" spans="1:4">
      <c r="A25" s="9"/>
      <c r="B25" s="35"/>
      <c r="C25" s="35"/>
      <c r="D25" s="35"/>
    </row>
    <row r="26" spans="1:4">
      <c r="A26" s="18" t="s">
        <v>76</v>
      </c>
      <c r="B26" s="44"/>
      <c r="C26" s="44"/>
      <c r="D26" s="44"/>
    </row>
    <row r="27" spans="1:4">
      <c r="A27" s="13" t="s">
        <v>77</v>
      </c>
      <c r="B27" s="35">
        <v>12</v>
      </c>
      <c r="C27" s="35">
        <v>12</v>
      </c>
      <c r="D27" s="35">
        <v>12</v>
      </c>
    </row>
    <row r="28" spans="1:4">
      <c r="A28" s="13" t="s">
        <v>78</v>
      </c>
      <c r="B28" s="35">
        <v>3382.6</v>
      </c>
      <c r="C28" s="35">
        <v>3760.6</v>
      </c>
      <c r="D28" s="35">
        <v>3692.6</v>
      </c>
    </row>
    <row r="29" spans="1:4">
      <c r="A29" s="13" t="s">
        <v>79</v>
      </c>
      <c r="B29" s="35">
        <v>357.6</v>
      </c>
      <c r="C29" s="35">
        <v>432.2</v>
      </c>
      <c r="D29" s="35">
        <v>397.5</v>
      </c>
    </row>
    <row r="30" spans="1:4">
      <c r="A30" s="16" t="s">
        <v>80</v>
      </c>
      <c r="B30" s="41">
        <f>SUM(B27:B29)+B52</f>
        <v>3752.2</v>
      </c>
      <c r="C30" s="41">
        <f>SUM(C27:C29)+C52</f>
        <v>4204.9000000000005</v>
      </c>
      <c r="D30" s="41">
        <f>SUM(D27:D29)+D52</f>
        <v>4102.1000000000004</v>
      </c>
    </row>
    <row r="31" spans="1:4">
      <c r="A31" s="13" t="s">
        <v>81</v>
      </c>
      <c r="B31" s="35">
        <v>0</v>
      </c>
      <c r="C31" s="35">
        <v>6.1</v>
      </c>
      <c r="D31" s="35">
        <v>3.9</v>
      </c>
    </row>
    <row r="32" spans="1:4">
      <c r="A32" s="16" t="s">
        <v>82</v>
      </c>
      <c r="B32" s="41">
        <f>B30+B31</f>
        <v>3752.2</v>
      </c>
      <c r="C32" s="41">
        <f>C30+C31</f>
        <v>4211.0000000000009</v>
      </c>
      <c r="D32" s="41">
        <f>D30+D31</f>
        <v>4106</v>
      </c>
    </row>
    <row r="33" spans="1:4">
      <c r="A33" s="9"/>
      <c r="B33" s="35"/>
      <c r="C33" s="35"/>
      <c r="D33" s="35"/>
    </row>
    <row r="34" spans="1:4">
      <c r="A34" s="13" t="s">
        <v>83</v>
      </c>
      <c r="B34" s="35">
        <v>355.4</v>
      </c>
      <c r="C34" s="35">
        <v>349.2</v>
      </c>
      <c r="D34" s="35">
        <v>330</v>
      </c>
    </row>
    <row r="35" spans="1:4">
      <c r="A35" s="13" t="s">
        <v>84</v>
      </c>
      <c r="B35" s="35">
        <v>11.1</v>
      </c>
      <c r="C35" s="35">
        <v>25.7</v>
      </c>
      <c r="D35" s="35">
        <v>26</v>
      </c>
    </row>
    <row r="36" spans="1:4">
      <c r="A36" s="13" t="s">
        <v>85</v>
      </c>
      <c r="B36" s="35">
        <v>53.3</v>
      </c>
      <c r="C36" s="35">
        <v>49.2</v>
      </c>
      <c r="D36" s="35">
        <v>48</v>
      </c>
    </row>
    <row r="37" spans="1:4">
      <c r="A37" s="16" t="s">
        <v>86</v>
      </c>
      <c r="B37" s="41">
        <f>SUM(B34:B36)+B53</f>
        <v>419.7</v>
      </c>
      <c r="C37" s="41">
        <f>SUM(C34:C36)+C53</f>
        <v>424.09999999999997</v>
      </c>
      <c r="D37" s="41">
        <f>SUM(D34:D36)+D53</f>
        <v>404</v>
      </c>
    </row>
    <row r="38" spans="1:4">
      <c r="A38" s="9"/>
      <c r="B38" s="35"/>
      <c r="C38" s="35"/>
      <c r="D38" s="35"/>
    </row>
    <row r="39" spans="1:4">
      <c r="A39" s="13" t="s">
        <v>87</v>
      </c>
      <c r="B39" s="35">
        <v>163.4</v>
      </c>
      <c r="C39" s="35">
        <v>141.5</v>
      </c>
      <c r="D39" s="35">
        <v>131.4</v>
      </c>
    </row>
    <row r="40" spans="1:4">
      <c r="A40" s="13" t="s">
        <v>88</v>
      </c>
      <c r="B40" s="35">
        <v>41.6</v>
      </c>
      <c r="C40" s="35">
        <v>37.299999999999997</v>
      </c>
      <c r="D40" s="35">
        <v>44.3</v>
      </c>
    </row>
    <row r="41" spans="1:4">
      <c r="A41" s="13" t="s">
        <v>89</v>
      </c>
      <c r="B41" s="35">
        <v>265.10000000000002</v>
      </c>
      <c r="C41" s="35">
        <v>272.39999999999998</v>
      </c>
      <c r="D41" s="35">
        <v>262.10000000000002</v>
      </c>
    </row>
    <row r="42" spans="1:4">
      <c r="A42" s="13" t="s">
        <v>90</v>
      </c>
      <c r="B42" s="35">
        <v>495.9</v>
      </c>
      <c r="C42" s="35">
        <v>574.20000000000005</v>
      </c>
      <c r="D42" s="35">
        <v>539.4</v>
      </c>
    </row>
    <row r="43" spans="1:4">
      <c r="A43" s="13" t="s">
        <v>91</v>
      </c>
      <c r="B43" s="35">
        <v>52.8</v>
      </c>
      <c r="C43" s="35">
        <v>35.4</v>
      </c>
      <c r="D43" s="35">
        <v>18.3</v>
      </c>
    </row>
    <row r="44" spans="1:4">
      <c r="A44" s="13" t="s">
        <v>92</v>
      </c>
      <c r="B44" s="35">
        <v>68.5</v>
      </c>
      <c r="C44" s="35">
        <v>74.099999999999994</v>
      </c>
      <c r="D44" s="35">
        <v>69.2</v>
      </c>
    </row>
    <row r="45" spans="1:4">
      <c r="A45" s="16" t="s">
        <v>93</v>
      </c>
      <c r="B45" s="41">
        <f>SUM(B39:B44)</f>
        <v>1087.3</v>
      </c>
      <c r="C45" s="41">
        <f>SUM(C39:C44)</f>
        <v>1134.9000000000001</v>
      </c>
      <c r="D45" s="41">
        <f>SUM(D39:D44)</f>
        <v>1064.7</v>
      </c>
    </row>
    <row r="46" spans="1:4">
      <c r="A46" s="9"/>
      <c r="B46" s="37"/>
      <c r="C46" s="37"/>
      <c r="D46" s="37"/>
    </row>
    <row r="47" spans="1:4">
      <c r="A47" s="16" t="s">
        <v>94</v>
      </c>
      <c r="B47" s="41">
        <f>B32+B37+B45</f>
        <v>5259.2</v>
      </c>
      <c r="C47" s="41">
        <f>C32+C37+C45</f>
        <v>5770.0000000000018</v>
      </c>
      <c r="D47" s="41">
        <f>D32+D37+D45</f>
        <v>5574.7</v>
      </c>
    </row>
    <row r="48" spans="1:4">
      <c r="A48" t="s">
        <v>182</v>
      </c>
      <c r="B48" s="45">
        <f>ROUND(B24-B47,1)</f>
        <v>0</v>
      </c>
      <c r="C48" s="45">
        <f>ROUND(C24-C47,1)</f>
        <v>0</v>
      </c>
      <c r="D48" s="45">
        <f>ROUND(D24-D47,1)</f>
        <v>0</v>
      </c>
    </row>
    <row r="49" spans="1:4">
      <c r="A49" s="10" t="s">
        <v>183</v>
      </c>
      <c r="B49" s="43"/>
      <c r="C49" s="43"/>
      <c r="D49" s="43"/>
    </row>
    <row r="50" spans="1:4" ht="3" customHeight="1">
      <c r="A50" s="59" t="s">
        <v>184</v>
      </c>
      <c r="B50" s="59">
        <v>0</v>
      </c>
      <c r="C50" s="59">
        <v>0.1</v>
      </c>
      <c r="D50" s="59">
        <v>0</v>
      </c>
    </row>
    <row r="51" spans="1:4" ht="3" customHeight="1">
      <c r="A51" s="59" t="s">
        <v>185</v>
      </c>
      <c r="B51" s="59">
        <v>0</v>
      </c>
      <c r="C51" s="59">
        <v>-0.1</v>
      </c>
      <c r="D51" s="59">
        <v>0</v>
      </c>
    </row>
    <row r="52" spans="1:4" ht="3" customHeight="1">
      <c r="A52" s="59" t="s">
        <v>186</v>
      </c>
      <c r="B52" s="59">
        <v>0</v>
      </c>
      <c r="C52" s="59">
        <v>0.1</v>
      </c>
      <c r="D52" s="59">
        <v>0</v>
      </c>
    </row>
    <row r="53" spans="1:4" ht="3" customHeight="1">
      <c r="A53" s="59" t="s">
        <v>187</v>
      </c>
      <c r="B53" s="59">
        <v>-0.1</v>
      </c>
      <c r="C53" s="59">
        <v>0</v>
      </c>
      <c r="D53" s="59">
        <v>0</v>
      </c>
    </row>
    <row r="54" spans="1:4">
      <c r="B54" s="43"/>
      <c r="C54" s="43"/>
      <c r="D54" s="43"/>
    </row>
    <row r="55" spans="1:4">
      <c r="B55" s="43"/>
      <c r="C55" s="43"/>
      <c r="D55" s="43"/>
    </row>
    <row r="56" spans="1:4">
      <c r="B56" s="43"/>
      <c r="C56" s="43"/>
      <c r="D56" s="43"/>
    </row>
    <row r="57" spans="1:4">
      <c r="B57" s="43"/>
      <c r="C57" s="43"/>
      <c r="D57" s="43"/>
    </row>
    <row r="58" spans="1:4">
      <c r="B58" s="43"/>
      <c r="C58" s="43"/>
      <c r="D58" s="43"/>
    </row>
    <row r="59" spans="1:4">
      <c r="B59" s="43"/>
      <c r="C59" s="43"/>
      <c r="D59" s="43"/>
    </row>
    <row r="60" spans="1:4">
      <c r="B60" s="43"/>
      <c r="C60" s="43"/>
      <c r="D60" s="43"/>
    </row>
  </sheetData>
  <conditionalFormatting sqref="B48:D48">
    <cfRule type="expression" dxfId="9" priority="1">
      <formula>ABS(B48)&lt;0.05</formula>
    </cfRule>
    <cfRule type="expression" dxfId="8" priority="2">
      <formula>ABS(B48)&gt;=0.05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75B6"/>
  </sheetPr>
  <dimension ref="A1:D60"/>
  <sheetViews>
    <sheetView showGridLines="0" workbookViewId="0"/>
  </sheetViews>
  <sheetFormatPr defaultColWidth="8.6640625" defaultRowHeight="14.4"/>
  <cols>
    <col min="1" max="1" width="48" customWidth="1"/>
    <col min="2" max="4" width="16" customWidth="1"/>
  </cols>
  <sheetData>
    <row r="1" spans="1:4" ht="17.399999999999999">
      <c r="A1" s="11" t="s">
        <v>95</v>
      </c>
    </row>
    <row r="2" spans="1:4">
      <c r="A2" s="10" t="s">
        <v>24</v>
      </c>
    </row>
    <row r="4" spans="1:4">
      <c r="A4" s="12"/>
      <c r="B4" s="12" t="s">
        <v>175</v>
      </c>
      <c r="C4" s="12" t="s">
        <v>176</v>
      </c>
      <c r="D4" s="12" t="s">
        <v>177</v>
      </c>
    </row>
    <row r="5" spans="1:4">
      <c r="A5" s="16" t="s">
        <v>96</v>
      </c>
      <c r="B5" s="46">
        <v>827.4</v>
      </c>
      <c r="C5" s="46">
        <v>913.9</v>
      </c>
      <c r="D5" s="46">
        <v>959.7</v>
      </c>
    </row>
    <row r="6" spans="1:4">
      <c r="A6" s="13" t="s">
        <v>97</v>
      </c>
      <c r="B6" s="35">
        <v>-204.5</v>
      </c>
      <c r="C6" s="35">
        <v>-47.1</v>
      </c>
      <c r="D6" s="35">
        <v>-65.900000000000006</v>
      </c>
    </row>
    <row r="7" spans="1:4">
      <c r="A7" s="13" t="s">
        <v>98</v>
      </c>
      <c r="B7" s="35">
        <v>1.2</v>
      </c>
      <c r="C7" s="35">
        <v>-3.9</v>
      </c>
      <c r="D7" s="35">
        <v>-5.4</v>
      </c>
    </row>
    <row r="8" spans="1:4">
      <c r="A8" s="13" t="s">
        <v>99</v>
      </c>
      <c r="B8" s="35">
        <v>-204.1</v>
      </c>
      <c r="C8" s="35">
        <v>-205.5</v>
      </c>
      <c r="D8" s="35">
        <v>-151.6</v>
      </c>
    </row>
    <row r="9" spans="1:4">
      <c r="A9" s="13" t="s">
        <v>40</v>
      </c>
      <c r="B9" s="35">
        <v>1.4</v>
      </c>
      <c r="C9" s="35">
        <v>-4.9000000000000004</v>
      </c>
      <c r="D9" s="35">
        <v>13.2</v>
      </c>
    </row>
    <row r="10" spans="1:4">
      <c r="A10" s="13" t="s">
        <v>100</v>
      </c>
      <c r="B10" s="35">
        <v>24</v>
      </c>
      <c r="C10" s="35">
        <v>14.8</v>
      </c>
      <c r="D10" s="35">
        <v>38.299999999999997</v>
      </c>
    </row>
    <row r="11" spans="1:4">
      <c r="A11" s="16" t="s">
        <v>101</v>
      </c>
      <c r="B11" s="41">
        <f>SUM(B5:B10)+B34</f>
        <v>445.4</v>
      </c>
      <c r="C11" s="41">
        <f>SUM(C5:C10)+C34</f>
        <v>667.3</v>
      </c>
      <c r="D11" s="41">
        <f>SUM(D5:D10)+D34</f>
        <v>788.40000000000009</v>
      </c>
    </row>
    <row r="12" spans="1:4">
      <c r="A12" s="9"/>
      <c r="B12" s="35"/>
      <c r="C12" s="35"/>
      <c r="D12" s="35"/>
    </row>
    <row r="13" spans="1:4">
      <c r="A13" s="13" t="s">
        <v>102</v>
      </c>
      <c r="B13" s="35">
        <v>-338.3</v>
      </c>
      <c r="C13" s="35">
        <v>-345.8</v>
      </c>
      <c r="D13" s="35">
        <v>-335.3</v>
      </c>
    </row>
    <row r="14" spans="1:4">
      <c r="A14" s="13" t="s">
        <v>103</v>
      </c>
      <c r="B14" s="35">
        <v>6.4</v>
      </c>
      <c r="C14" s="35">
        <v>9.4</v>
      </c>
      <c r="D14" s="35">
        <v>10.4</v>
      </c>
    </row>
    <row r="15" spans="1:4">
      <c r="A15" s="13" t="s">
        <v>104</v>
      </c>
      <c r="B15" s="35">
        <v>1.8</v>
      </c>
      <c r="C15" s="35">
        <v>-1.2</v>
      </c>
      <c r="D15" s="35">
        <v>-1</v>
      </c>
    </row>
    <row r="16" spans="1:4">
      <c r="A16" s="16" t="s">
        <v>105</v>
      </c>
      <c r="B16" s="41">
        <f>SUM(B5:B10,B13:B15)</f>
        <v>115.29999999999997</v>
      </c>
      <c r="C16" s="41">
        <f>SUM(C5:C10,C13:C15)</f>
        <v>329.69999999999993</v>
      </c>
      <c r="D16" s="41">
        <f>SUM(D5:D10,D13:D15)</f>
        <v>462.40000000000003</v>
      </c>
    </row>
    <row r="17" spans="1:4">
      <c r="A17" s="9"/>
      <c r="B17" s="35"/>
      <c r="C17" s="35"/>
      <c r="D17" s="35"/>
    </row>
    <row r="18" spans="1:4">
      <c r="A18" s="13" t="s">
        <v>106</v>
      </c>
      <c r="B18" s="35">
        <v>-158.69999999999999</v>
      </c>
      <c r="C18" s="35">
        <v>-22.2</v>
      </c>
      <c r="D18" s="35">
        <v>-135.69999999999999</v>
      </c>
    </row>
    <row r="19" spans="1:4">
      <c r="A19" s="16" t="s">
        <v>107</v>
      </c>
      <c r="B19" s="41">
        <f>SUM(B13:B15,B18)+B35</f>
        <v>-488.8</v>
      </c>
      <c r="C19" s="41">
        <f>SUM(C13:C15,C18)+C35</f>
        <v>-359.8</v>
      </c>
      <c r="D19" s="41">
        <f>SUM(D13:D15,D18)+D35</f>
        <v>-461.70000000000005</v>
      </c>
    </row>
    <row r="20" spans="1:4">
      <c r="A20" s="9"/>
      <c r="B20" s="35"/>
      <c r="C20" s="35"/>
      <c r="D20" s="35"/>
    </row>
    <row r="21" spans="1:4">
      <c r="A21" s="13" t="s">
        <v>108</v>
      </c>
      <c r="B21" s="35">
        <v>12.7</v>
      </c>
      <c r="C21" s="35">
        <v>-37.6</v>
      </c>
      <c r="D21" s="35">
        <v>-18.2</v>
      </c>
    </row>
    <row r="22" spans="1:4">
      <c r="A22" s="13" t="s">
        <v>109</v>
      </c>
      <c r="B22" s="35">
        <v>-100.2</v>
      </c>
      <c r="C22" s="35">
        <v>-100.2</v>
      </c>
      <c r="D22" s="35">
        <v>-106.1</v>
      </c>
    </row>
    <row r="23" spans="1:4">
      <c r="A23" s="13" t="s">
        <v>110</v>
      </c>
      <c r="B23" s="35">
        <v>-34.799999999999997</v>
      </c>
      <c r="C23" s="35">
        <v>-74.8</v>
      </c>
      <c r="D23" s="35">
        <v>-29.6</v>
      </c>
    </row>
    <row r="24" spans="1:4">
      <c r="A24" s="13" t="s">
        <v>111</v>
      </c>
      <c r="B24" s="35">
        <v>0</v>
      </c>
      <c r="C24" s="35">
        <v>0</v>
      </c>
      <c r="D24" s="35">
        <v>-1.5</v>
      </c>
    </row>
    <row r="25" spans="1:4">
      <c r="A25" s="16" t="s">
        <v>112</v>
      </c>
      <c r="B25" s="41">
        <f>SUM(B21:B24)</f>
        <v>-122.3</v>
      </c>
      <c r="C25" s="41">
        <f>SUM(C21:C24)</f>
        <v>-212.60000000000002</v>
      </c>
      <c r="D25" s="41">
        <f>SUM(D21:D24)</f>
        <v>-155.4</v>
      </c>
    </row>
    <row r="26" spans="1:4">
      <c r="A26" s="9"/>
      <c r="B26" s="35"/>
      <c r="C26" s="35"/>
      <c r="D26" s="35"/>
    </row>
    <row r="27" spans="1:4">
      <c r="A27" s="16" t="s">
        <v>113</v>
      </c>
      <c r="B27" s="41">
        <f>SUM(B11,B19,B25)+B37</f>
        <v>-165.70000000000005</v>
      </c>
      <c r="C27" s="41">
        <f>SUM(C11,C19,C25)+C37</f>
        <v>94.799999999999926</v>
      </c>
      <c r="D27" s="41">
        <f>SUM(D11,D19,D25)+D37</f>
        <v>171.30000000000004</v>
      </c>
    </row>
    <row r="28" spans="1:4">
      <c r="A28" s="9" t="s">
        <v>114</v>
      </c>
      <c r="B28" s="35">
        <v>528.70000000000005</v>
      </c>
      <c r="C28" s="35">
        <v>333.4</v>
      </c>
      <c r="D28" s="35">
        <v>442.1</v>
      </c>
    </row>
    <row r="29" spans="1:4">
      <c r="A29" s="9" t="s">
        <v>115</v>
      </c>
      <c r="B29" s="35">
        <v>-29.7</v>
      </c>
      <c r="C29" s="35">
        <v>13.9</v>
      </c>
      <c r="D29" s="35">
        <v>-48.4</v>
      </c>
    </row>
    <row r="30" spans="1:4">
      <c r="A30" s="16" t="s">
        <v>116</v>
      </c>
      <c r="B30" s="46">
        <v>333.4</v>
      </c>
      <c r="C30" s="46">
        <v>442.1</v>
      </c>
      <c r="D30" s="46">
        <v>565.1</v>
      </c>
    </row>
    <row r="31" spans="1:4">
      <c r="B31" s="43"/>
      <c r="C31" s="43"/>
      <c r="D31" s="43"/>
    </row>
    <row r="32" spans="1:4">
      <c r="A32" s="10" t="s">
        <v>188</v>
      </c>
      <c r="B32" s="43"/>
      <c r="C32" s="43"/>
      <c r="D32" s="43"/>
    </row>
    <row r="33" spans="1:4">
      <c r="A33" s="10" t="s">
        <v>189</v>
      </c>
      <c r="B33" s="43"/>
      <c r="C33" s="43"/>
      <c r="D33" s="43"/>
    </row>
    <row r="34" spans="1:4" ht="3" customHeight="1">
      <c r="A34" s="59" t="s">
        <v>190</v>
      </c>
      <c r="B34" s="59">
        <v>0</v>
      </c>
      <c r="C34" s="59">
        <v>0</v>
      </c>
      <c r="D34" s="59">
        <v>0.1</v>
      </c>
    </row>
    <row r="35" spans="1:4" ht="3" customHeight="1">
      <c r="A35" s="59" t="s">
        <v>191</v>
      </c>
      <c r="B35" s="59">
        <v>0</v>
      </c>
      <c r="C35" s="59">
        <v>0</v>
      </c>
      <c r="D35" s="59">
        <v>-0.1</v>
      </c>
    </row>
    <row r="36" spans="1:4">
      <c r="A36" t="s">
        <v>192</v>
      </c>
      <c r="B36" s="45" t="str">
        <f>IF(ABS(B28+B27+B29-B30)&lt;=0.11,"OK","CHECK")</f>
        <v>OK</v>
      </c>
      <c r="C36" s="45" t="str">
        <f>IF(ABS(C28+C27+C29-C30)&lt;=0.11,"OK","CHECK")</f>
        <v>OK</v>
      </c>
      <c r="D36" s="45" t="str">
        <f>IF(ABS(D28+D27+D29-D30)&lt;=0.11,"OK","CHECK")</f>
        <v>OK</v>
      </c>
    </row>
    <row r="37" spans="1:4" ht="3" customHeight="1">
      <c r="A37" s="59" t="s">
        <v>193</v>
      </c>
      <c r="B37" s="59">
        <v>0</v>
      </c>
      <c r="C37" s="59">
        <v>-0.1</v>
      </c>
      <c r="D37" s="59">
        <v>0</v>
      </c>
    </row>
    <row r="38" spans="1:4">
      <c r="B38" s="43"/>
      <c r="C38" s="43"/>
      <c r="D38" s="43"/>
    </row>
    <row r="39" spans="1:4">
      <c r="B39" s="43"/>
      <c r="C39" s="43"/>
      <c r="D39" s="43"/>
    </row>
    <row r="40" spans="1:4">
      <c r="B40" s="43"/>
      <c r="C40" s="43"/>
      <c r="D40" s="43"/>
    </row>
    <row r="41" spans="1:4">
      <c r="B41" s="43"/>
      <c r="C41" s="43"/>
      <c r="D41" s="43"/>
    </row>
    <row r="42" spans="1:4">
      <c r="B42" s="43"/>
      <c r="C42" s="43"/>
      <c r="D42" s="43"/>
    </row>
    <row r="43" spans="1:4">
      <c r="B43" s="43"/>
      <c r="C43" s="43"/>
      <c r="D43" s="43"/>
    </row>
    <row r="44" spans="1:4">
      <c r="B44" s="43"/>
      <c r="C44" s="43"/>
      <c r="D44" s="43"/>
    </row>
    <row r="45" spans="1:4">
      <c r="B45" s="43"/>
      <c r="C45" s="43"/>
      <c r="D45" s="43"/>
    </row>
    <row r="46" spans="1:4">
      <c r="B46" s="43"/>
      <c r="C46" s="43"/>
      <c r="D46" s="43"/>
    </row>
    <row r="47" spans="1:4">
      <c r="B47" s="43"/>
      <c r="C47" s="43"/>
      <c r="D47" s="43"/>
    </row>
    <row r="48" spans="1:4">
      <c r="B48" s="43"/>
      <c r="C48" s="43"/>
      <c r="D48" s="43"/>
    </row>
    <row r="49" spans="2:4">
      <c r="B49" s="43"/>
      <c r="C49" s="43"/>
      <c r="D49" s="43"/>
    </row>
    <row r="50" spans="2:4">
      <c r="B50" s="43"/>
      <c r="C50" s="43"/>
      <c r="D50" s="43"/>
    </row>
    <row r="51" spans="2:4">
      <c r="B51" s="43"/>
      <c r="C51" s="43"/>
      <c r="D51" s="43"/>
    </row>
    <row r="52" spans="2:4">
      <c r="B52" s="43"/>
      <c r="C52" s="43"/>
      <c r="D52" s="43"/>
    </row>
    <row r="53" spans="2:4">
      <c r="B53" s="43"/>
      <c r="C53" s="43"/>
      <c r="D53" s="43"/>
    </row>
    <row r="54" spans="2:4">
      <c r="B54" s="43"/>
      <c r="C54" s="43"/>
      <c r="D54" s="43"/>
    </row>
    <row r="55" spans="2:4">
      <c r="B55" s="43"/>
      <c r="C55" s="43"/>
      <c r="D55" s="43"/>
    </row>
    <row r="56" spans="2:4">
      <c r="B56" s="43"/>
      <c r="C56" s="43"/>
      <c r="D56" s="43"/>
    </row>
    <row r="57" spans="2:4">
      <c r="B57" s="43"/>
      <c r="C57" s="43"/>
      <c r="D57" s="43"/>
    </row>
    <row r="58" spans="2:4">
      <c r="B58" s="43"/>
      <c r="C58" s="43"/>
      <c r="D58" s="43"/>
    </row>
    <row r="59" spans="2:4">
      <c r="B59" s="43"/>
      <c r="C59" s="43"/>
      <c r="D59" s="43"/>
    </row>
    <row r="60" spans="2:4">
      <c r="B60" s="43"/>
      <c r="C60" s="43"/>
      <c r="D60" s="43"/>
    </row>
  </sheetData>
  <conditionalFormatting sqref="B36:D36">
    <cfRule type="expression" dxfId="7" priority="1">
      <formula>B36="OK"</formula>
    </cfRule>
    <cfRule type="expression" dxfId="6" priority="2">
      <formula>B36="CHECK"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5B6"/>
  </sheetPr>
  <dimension ref="A1:D60"/>
  <sheetViews>
    <sheetView showGridLines="0" tabSelected="1" workbookViewId="0">
      <selection activeCell="G31" sqref="G31"/>
    </sheetView>
  </sheetViews>
  <sheetFormatPr defaultColWidth="8.6640625" defaultRowHeight="14.4"/>
  <cols>
    <col min="1" max="1" width="40" customWidth="1"/>
    <col min="2" max="4" width="16" customWidth="1"/>
  </cols>
  <sheetData>
    <row r="1" spans="1:4" ht="17.399999999999999">
      <c r="A1" s="11" t="s">
        <v>117</v>
      </c>
    </row>
    <row r="2" spans="1:4">
      <c r="A2" s="10" t="s">
        <v>24</v>
      </c>
    </row>
    <row r="4" spans="1:4">
      <c r="A4" s="20" t="s">
        <v>118</v>
      </c>
    </row>
    <row r="5" spans="1:4">
      <c r="A5" s="12"/>
      <c r="B5" s="47" t="s">
        <v>175</v>
      </c>
      <c r="C5" s="47" t="s">
        <v>176</v>
      </c>
      <c r="D5" s="47" t="s">
        <v>177</v>
      </c>
    </row>
    <row r="6" spans="1:4">
      <c r="A6" s="16" t="s">
        <v>119</v>
      </c>
      <c r="B6" s="46">
        <v>3099.3</v>
      </c>
      <c r="C6" s="46">
        <v>3373.8</v>
      </c>
      <c r="D6" s="46">
        <v>3430.8</v>
      </c>
    </row>
    <row r="7" spans="1:4">
      <c r="A7" s="13" t="s">
        <v>120</v>
      </c>
      <c r="B7" s="35">
        <v>1417.3</v>
      </c>
      <c r="C7" s="35">
        <v>1647</v>
      </c>
      <c r="D7" s="35">
        <v>1733</v>
      </c>
    </row>
    <row r="8" spans="1:4">
      <c r="A8" s="13" t="s">
        <v>121</v>
      </c>
      <c r="B8" s="35"/>
      <c r="C8" s="35">
        <v>1494.1</v>
      </c>
      <c r="D8" s="35">
        <v>1512.1</v>
      </c>
    </row>
    <row r="9" spans="1:4">
      <c r="A9" s="13" t="s">
        <v>122</v>
      </c>
      <c r="B9" s="35"/>
      <c r="C9" s="35">
        <v>94.8</v>
      </c>
      <c r="D9" s="35">
        <v>167.5</v>
      </c>
    </row>
    <row r="10" spans="1:4">
      <c r="A10" s="13" t="s">
        <v>123</v>
      </c>
      <c r="B10" s="35"/>
      <c r="C10" s="35">
        <v>58.3</v>
      </c>
      <c r="D10" s="35">
        <v>53.4</v>
      </c>
    </row>
    <row r="11" spans="1:4">
      <c r="A11" s="13" t="s">
        <v>124</v>
      </c>
      <c r="B11" s="35">
        <v>1266.7</v>
      </c>
      <c r="C11" s="35">
        <v>1330.1</v>
      </c>
      <c r="D11" s="35">
        <v>1339</v>
      </c>
    </row>
    <row r="12" spans="1:4">
      <c r="A12" s="13" t="s">
        <v>125</v>
      </c>
      <c r="B12" s="35">
        <v>373</v>
      </c>
      <c r="C12" s="35">
        <v>341.4</v>
      </c>
      <c r="D12" s="35">
        <v>308.3</v>
      </c>
    </row>
    <row r="13" spans="1:4">
      <c r="A13" s="13" t="s">
        <v>126</v>
      </c>
      <c r="B13" s="35">
        <v>42.4</v>
      </c>
      <c r="C13" s="35">
        <v>55.3</v>
      </c>
      <c r="D13" s="35">
        <v>50.6</v>
      </c>
    </row>
    <row r="14" spans="1:4">
      <c r="A14" s="16" t="s">
        <v>127</v>
      </c>
      <c r="B14" s="46">
        <v>575.4</v>
      </c>
      <c r="C14" s="46">
        <v>606</v>
      </c>
      <c r="D14" s="46">
        <v>638.9</v>
      </c>
    </row>
    <row r="15" spans="1:4">
      <c r="A15" s="16" t="s">
        <v>128</v>
      </c>
      <c r="B15" s="57">
        <f>'Income Statement'!B5</f>
        <v>3674.7</v>
      </c>
      <c r="C15" s="57">
        <f>'Income Statement'!C5</f>
        <v>3979.9</v>
      </c>
      <c r="D15" s="57">
        <f>'Income Statement'!D5</f>
        <v>4069.8</v>
      </c>
    </row>
    <row r="16" spans="1:4">
      <c r="B16" s="58"/>
      <c r="C16" s="58"/>
      <c r="D16" s="58"/>
    </row>
    <row r="17" spans="1:4">
      <c r="B17" s="43"/>
      <c r="C17" s="43"/>
      <c r="D17" s="43"/>
    </row>
    <row r="18" spans="1:4">
      <c r="A18" s="20" t="s">
        <v>129</v>
      </c>
      <c r="B18" s="43"/>
      <c r="C18" s="43"/>
      <c r="D18" s="43"/>
    </row>
    <row r="19" spans="1:4">
      <c r="A19" s="12"/>
      <c r="B19" s="47" t="s">
        <v>175</v>
      </c>
      <c r="C19" s="47" t="s">
        <v>176</v>
      </c>
      <c r="D19" s="47" t="s">
        <v>177</v>
      </c>
    </row>
    <row r="20" spans="1:4">
      <c r="A20" s="9" t="s">
        <v>130</v>
      </c>
      <c r="B20" s="35">
        <v>1618.6</v>
      </c>
      <c r="C20" s="35">
        <v>1793.3</v>
      </c>
      <c r="D20" s="35">
        <v>1846.8</v>
      </c>
    </row>
    <row r="21" spans="1:4">
      <c r="A21" s="9" t="s">
        <v>131</v>
      </c>
      <c r="B21" s="35">
        <v>227.9</v>
      </c>
      <c r="C21" s="35">
        <v>261.60000000000002</v>
      </c>
      <c r="D21" s="35">
        <v>274.7</v>
      </c>
    </row>
    <row r="22" spans="1:4">
      <c r="A22" s="9" t="s">
        <v>132</v>
      </c>
      <c r="B22" s="35">
        <v>1190.8</v>
      </c>
      <c r="C22" s="35">
        <v>1268.5999999999999</v>
      </c>
      <c r="D22" s="35">
        <v>1313.9</v>
      </c>
    </row>
    <row r="23" spans="1:4">
      <c r="A23" s="9" t="s">
        <v>133</v>
      </c>
      <c r="B23" s="35">
        <v>637.4</v>
      </c>
      <c r="C23" s="35">
        <v>656.3</v>
      </c>
      <c r="D23" s="35">
        <v>634.4</v>
      </c>
    </row>
    <row r="24" spans="1:4">
      <c r="A24" s="16" t="s">
        <v>128</v>
      </c>
      <c r="B24" s="57">
        <f>'Income Statement'!B5</f>
        <v>3674.7</v>
      </c>
      <c r="C24" s="57">
        <f>'Income Statement'!C5</f>
        <v>3979.9</v>
      </c>
      <c r="D24" s="57">
        <f>'Income Statement'!D5</f>
        <v>4069.8</v>
      </c>
    </row>
    <row r="25" spans="1:4">
      <c r="B25" s="58"/>
      <c r="C25" s="58"/>
      <c r="D25" s="58"/>
    </row>
    <row r="26" spans="1:4">
      <c r="B26" s="43"/>
      <c r="C26" s="43"/>
      <c r="D26" s="43"/>
    </row>
    <row r="27" spans="1:4">
      <c r="A27" s="20" t="s">
        <v>134</v>
      </c>
      <c r="B27" s="43"/>
      <c r="C27" s="43"/>
      <c r="D27" s="43"/>
    </row>
    <row r="28" spans="1:4">
      <c r="A28" s="12"/>
      <c r="B28" s="47" t="s">
        <v>175</v>
      </c>
      <c r="C28" s="47" t="s">
        <v>176</v>
      </c>
      <c r="D28" s="47" t="s">
        <v>177</v>
      </c>
    </row>
    <row r="29" spans="1:4">
      <c r="A29" s="9" t="s">
        <v>135</v>
      </c>
      <c r="B29" s="35">
        <v>289.8</v>
      </c>
      <c r="C29" s="35">
        <v>265.60000000000002</v>
      </c>
      <c r="D29" s="35">
        <v>282.3</v>
      </c>
    </row>
    <row r="30" spans="1:4">
      <c r="A30" s="9" t="s">
        <v>136</v>
      </c>
      <c r="B30" s="35">
        <v>3027.3</v>
      </c>
      <c r="C30" s="35">
        <v>3324.7</v>
      </c>
      <c r="D30" s="35">
        <v>3393.2</v>
      </c>
    </row>
    <row r="31" spans="1:4">
      <c r="A31" s="9" t="s">
        <v>137</v>
      </c>
      <c r="B31" s="35">
        <v>247.8</v>
      </c>
      <c r="C31" s="35">
        <v>243.6</v>
      </c>
      <c r="D31" s="35">
        <v>254.1</v>
      </c>
    </row>
    <row r="32" spans="1:4">
      <c r="A32" s="9" t="s">
        <v>138</v>
      </c>
      <c r="B32" s="35">
        <v>60.1</v>
      </c>
      <c r="C32" s="35">
        <v>62</v>
      </c>
      <c r="D32" s="35">
        <v>61.9</v>
      </c>
    </row>
    <row r="33" spans="1:4">
      <c r="A33" s="9" t="s">
        <v>139</v>
      </c>
      <c r="B33" s="35">
        <v>49.6</v>
      </c>
      <c r="C33" s="35">
        <v>84</v>
      </c>
      <c r="D33" s="35">
        <v>78.3</v>
      </c>
    </row>
    <row r="34" spans="1:4">
      <c r="A34" s="16" t="s">
        <v>128</v>
      </c>
      <c r="B34" s="57">
        <f>'Income Statement'!B5</f>
        <v>3674.7</v>
      </c>
      <c r="C34" s="57">
        <f>'Income Statement'!C5</f>
        <v>3979.9</v>
      </c>
      <c r="D34" s="57">
        <f>'Income Statement'!D5</f>
        <v>4069.8</v>
      </c>
    </row>
    <row r="35" spans="1:4">
      <c r="B35" s="58"/>
      <c r="C35" s="58"/>
      <c r="D35" s="58"/>
    </row>
    <row r="36" spans="1:4">
      <c r="A36" s="10" t="s">
        <v>194</v>
      </c>
      <c r="B36" s="43"/>
      <c r="C36" s="43"/>
      <c r="D36" s="43"/>
    </row>
    <row r="37" spans="1:4">
      <c r="A37" s="10" t="s">
        <v>140</v>
      </c>
      <c r="B37" s="43"/>
      <c r="C37" s="43"/>
      <c r="D37" s="43"/>
    </row>
    <row r="38" spans="1:4">
      <c r="B38" s="43"/>
      <c r="C38" s="43"/>
      <c r="D38" s="43"/>
    </row>
    <row r="39" spans="1:4">
      <c r="B39" s="43"/>
      <c r="C39" s="43"/>
      <c r="D39" s="43"/>
    </row>
    <row r="40" spans="1:4">
      <c r="B40" s="43"/>
      <c r="C40" s="43"/>
      <c r="D40" s="43"/>
    </row>
    <row r="41" spans="1:4">
      <c r="B41" s="43"/>
      <c r="C41" s="43"/>
      <c r="D41" s="43"/>
    </row>
    <row r="42" spans="1:4">
      <c r="B42" s="43"/>
      <c r="C42" s="43"/>
      <c r="D42" s="43"/>
    </row>
    <row r="43" spans="1:4">
      <c r="B43" s="43"/>
      <c r="C43" s="43"/>
      <c r="D43" s="43"/>
    </row>
    <row r="44" spans="1:4">
      <c r="B44" s="43"/>
      <c r="C44" s="43"/>
      <c r="D44" s="43"/>
    </row>
    <row r="45" spans="1:4">
      <c r="B45" s="43"/>
      <c r="C45" s="43"/>
      <c r="D45" s="43"/>
    </row>
    <row r="46" spans="1:4">
      <c r="B46" s="43"/>
      <c r="C46" s="43"/>
      <c r="D46" s="43"/>
    </row>
    <row r="47" spans="1:4">
      <c r="B47" s="43"/>
      <c r="C47" s="43"/>
      <c r="D47" s="43"/>
    </row>
    <row r="48" spans="1:4">
      <c r="B48" s="43"/>
      <c r="C48" s="43"/>
      <c r="D48" s="43"/>
    </row>
    <row r="49" spans="2:4">
      <c r="B49" s="43"/>
      <c r="C49" s="43"/>
      <c r="D49" s="43"/>
    </row>
    <row r="50" spans="2:4">
      <c r="B50" s="43"/>
      <c r="C50" s="43"/>
      <c r="D50" s="43"/>
    </row>
    <row r="51" spans="2:4">
      <c r="B51" s="43"/>
      <c r="C51" s="43"/>
      <c r="D51" s="43"/>
    </row>
    <row r="52" spans="2:4">
      <c r="B52" s="43"/>
      <c r="C52" s="43"/>
      <c r="D52" s="43"/>
    </row>
    <row r="53" spans="2:4">
      <c r="B53" s="43"/>
      <c r="C53" s="43"/>
      <c r="D53" s="43"/>
    </row>
    <row r="54" spans="2:4">
      <c r="B54" s="43"/>
      <c r="C54" s="43"/>
      <c r="D54" s="43"/>
    </row>
    <row r="55" spans="2:4">
      <c r="B55" s="43"/>
      <c r="C55" s="43"/>
      <c r="D55" s="43"/>
    </row>
    <row r="56" spans="2:4">
      <c r="B56" s="43"/>
      <c r="C56" s="43"/>
      <c r="D56" s="43"/>
    </row>
    <row r="57" spans="2:4">
      <c r="B57" s="43"/>
      <c r="C57" s="43"/>
      <c r="D57" s="43"/>
    </row>
    <row r="58" spans="2:4">
      <c r="B58" s="43"/>
      <c r="C58" s="43"/>
      <c r="D58" s="43"/>
    </row>
    <row r="59" spans="2:4">
      <c r="B59" s="43"/>
      <c r="C59" s="43"/>
      <c r="D59" s="43"/>
    </row>
    <row r="60" spans="2:4">
      <c r="B60" s="43"/>
      <c r="C60" s="43"/>
      <c r="D60" s="43"/>
    </row>
  </sheetData>
  <conditionalFormatting sqref="B16:D16">
    <cfRule type="expression" dxfId="5" priority="4">
      <formula>B16="OK"</formula>
    </cfRule>
    <cfRule type="expression" dxfId="4" priority="5">
      <formula>B16="CHECK"</formula>
    </cfRule>
  </conditionalFormatting>
  <conditionalFormatting sqref="B25:D25">
    <cfRule type="expression" dxfId="3" priority="6">
      <formula>B25="OK"</formula>
    </cfRule>
    <cfRule type="expression" dxfId="2" priority="7">
      <formula>B25="CHECK"</formula>
    </cfRule>
  </conditionalFormatting>
  <conditionalFormatting sqref="B35:D35">
    <cfRule type="expression" dxfId="1" priority="8">
      <formula>B35="OK"</formula>
    </cfRule>
    <cfRule type="expression" dxfId="0" priority="9">
      <formula>B35="CHECK"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5B6"/>
  </sheetPr>
  <dimension ref="A1:D55"/>
  <sheetViews>
    <sheetView showGridLines="0" workbookViewId="0"/>
  </sheetViews>
  <sheetFormatPr defaultColWidth="8.6640625" defaultRowHeight="14.4"/>
  <cols>
    <col min="1" max="1" width="40" customWidth="1"/>
    <col min="2" max="4" width="16" customWidth="1"/>
  </cols>
  <sheetData>
    <row r="1" spans="1:4" ht="17.399999999999999">
      <c r="A1" s="11" t="s">
        <v>141</v>
      </c>
    </row>
    <row r="2" spans="1:4">
      <c r="A2" s="10" t="s">
        <v>142</v>
      </c>
    </row>
    <row r="4" spans="1:4">
      <c r="A4" s="12"/>
      <c r="B4" s="12" t="s">
        <v>175</v>
      </c>
      <c r="C4" s="12" t="s">
        <v>176</v>
      </c>
      <c r="D4" s="12" t="s">
        <v>177</v>
      </c>
    </row>
    <row r="5" spans="1:4">
      <c r="A5" s="18" t="s">
        <v>143</v>
      </c>
      <c r="B5" s="19"/>
      <c r="C5" s="19"/>
      <c r="D5" s="19"/>
    </row>
    <row r="6" spans="1:4">
      <c r="A6" s="9" t="s">
        <v>144</v>
      </c>
      <c r="B6" s="52">
        <f>'Income Statement'!B8</f>
        <v>0.55985522627697493</v>
      </c>
      <c r="C6" s="52">
        <f>'Income Statement'!C8</f>
        <v>0.55662202567903718</v>
      </c>
      <c r="D6" s="52">
        <f>'Income Statement'!D8</f>
        <v>0.56730060445230723</v>
      </c>
    </row>
    <row r="7" spans="1:4">
      <c r="A7" s="9" t="s">
        <v>145</v>
      </c>
      <c r="B7" s="52">
        <f>'Income Statement'!B17</f>
        <v>0.16589109315046124</v>
      </c>
      <c r="C7" s="52">
        <f>'Income Statement'!C17</f>
        <v>0.1691248523832258</v>
      </c>
      <c r="D7" s="52">
        <f>'Income Statement'!D17</f>
        <v>0.17885399773944677</v>
      </c>
    </row>
    <row r="8" spans="1:4">
      <c r="A8" s="9" t="s">
        <v>146</v>
      </c>
      <c r="B8" s="52">
        <f>'Income Statement'!B39</f>
        <v>0.22516123765205323</v>
      </c>
      <c r="C8" s="52">
        <f>'Income Statement'!C39</f>
        <v>0.22962888514786803</v>
      </c>
      <c r="D8" s="52">
        <f>'Income Statement'!D39</f>
        <v>0.23581011351909184</v>
      </c>
    </row>
    <row r="9" spans="1:4">
      <c r="A9" s="9" t="s">
        <v>147</v>
      </c>
      <c r="B9" s="52">
        <f>'Income Statement'!B22/'Income Statement'!B5</f>
        <v>0.11946553460146404</v>
      </c>
      <c r="C9" s="52">
        <f>'Income Statement'!C22/'Income Statement'!C5</f>
        <v>0.14794341566371025</v>
      </c>
      <c r="D9" s="52">
        <f>'Income Statement'!D22/'Income Statement'!D5</f>
        <v>0.12808983242419791</v>
      </c>
    </row>
    <row r="10" spans="1:4">
      <c r="A10" s="9" t="s">
        <v>148</v>
      </c>
      <c r="B10" s="52">
        <f>'Income Statement'!B31</f>
        <v>9.7314066454404408E-2</v>
      </c>
      <c r="C10" s="52">
        <f>'Income Statement'!C31</f>
        <v>0.10859569335912973</v>
      </c>
      <c r="D10" s="52">
        <f>'Income Statement'!D31</f>
        <v>9.7670647206251085E-2</v>
      </c>
    </row>
    <row r="11" spans="1:4">
      <c r="A11" s="9" t="s">
        <v>149</v>
      </c>
      <c r="B11" s="52">
        <f>-'Income Statement'!B13/'Income Statement'!B5</f>
        <v>0.12520749993196725</v>
      </c>
      <c r="C11" s="52">
        <f>-'Income Statement'!C13/'Income Statement'!C5</f>
        <v>0.12349556521520641</v>
      </c>
      <c r="D11" s="52">
        <f>-'Income Statement'!D13/'Income Statement'!D5</f>
        <v>0.12467443117597915</v>
      </c>
    </row>
    <row r="12" spans="1:4">
      <c r="A12" s="9" t="s">
        <v>150</v>
      </c>
      <c r="B12" s="52">
        <f>-SUM('Income Statement'!B11:B12)/'Income Statement'!B5</f>
        <v>0.27770974501319839</v>
      </c>
      <c r="C12" s="52">
        <f>-SUM('Income Statement'!C11:C12)/'Income Statement'!C5</f>
        <v>0.27578582376441618</v>
      </c>
      <c r="D12" s="52">
        <f>-SUM('Income Statement'!D11:D12)/'Income Statement'!D5</f>
        <v>0.27303553000147429</v>
      </c>
    </row>
    <row r="13" spans="1:4">
      <c r="A13" s="9" t="s">
        <v>151</v>
      </c>
      <c r="B13" s="52">
        <f>-'Income Statement'!B26/SUM('Income Statement'!B22,'Income Statement'!B24:B25)</f>
        <v>0.26183398124857088</v>
      </c>
      <c r="C13" s="52">
        <f>-'Income Statement'!C26/SUM('Income Statement'!C22,'Income Statement'!C24:C25)</f>
        <v>0.26630997583707267</v>
      </c>
      <c r="D13" s="52">
        <f>-'Income Statement'!D26/SUM('Income Statement'!D22,'Income Statement'!D24:D25)</f>
        <v>0.24505327245053241</v>
      </c>
    </row>
    <row r="14" spans="1:4">
      <c r="A14" s="9"/>
      <c r="B14" s="24"/>
      <c r="C14" s="24"/>
      <c r="D14" s="24"/>
    </row>
    <row r="15" spans="1:4">
      <c r="A15" s="18" t="s">
        <v>152</v>
      </c>
      <c r="B15" s="25"/>
      <c r="C15" s="25"/>
      <c r="D15" s="25"/>
    </row>
    <row r="16" spans="1:4">
      <c r="A16" s="9" t="s">
        <v>153</v>
      </c>
      <c r="B16" s="52"/>
      <c r="C16" s="52">
        <f>'Income Statement'!C5/'Income Statement'!B5-1</f>
        <v>8.305439899855771E-2</v>
      </c>
      <c r="D16" s="52">
        <f>'Income Statement'!D5/'Income Statement'!C5-1</f>
        <v>2.2588507248925804E-2</v>
      </c>
    </row>
    <row r="17" spans="1:4">
      <c r="A17" s="9" t="s">
        <v>154</v>
      </c>
      <c r="B17" s="53"/>
      <c r="C17" s="53">
        <v>0.10299999999999999</v>
      </c>
      <c r="D17" s="53">
        <v>6.2E-2</v>
      </c>
    </row>
    <row r="18" spans="1:4">
      <c r="A18" s="9" t="s">
        <v>155</v>
      </c>
      <c r="B18" s="52"/>
      <c r="C18" s="52">
        <f>'Income Statement'!C7/'Income Statement'!B7-1</f>
        <v>7.6799688912652764E-2</v>
      </c>
      <c r="D18" s="52">
        <f>'Income Statement'!D7/'Income Statement'!C7-1</f>
        <v>4.2206473163905578E-2</v>
      </c>
    </row>
    <row r="19" spans="1:4">
      <c r="A19" s="9" t="s">
        <v>156</v>
      </c>
      <c r="B19" s="52"/>
      <c r="C19" s="52">
        <f>'Income Statement'!C16/'Income Statement'!B16-1</f>
        <v>0.10416666666666741</v>
      </c>
      <c r="D19" s="52">
        <f>'Income Statement'!D16/'Income Statement'!C16-1</f>
        <v>8.1414351507948624E-2</v>
      </c>
    </row>
    <row r="20" spans="1:4">
      <c r="A20" s="9" t="s">
        <v>157</v>
      </c>
      <c r="B20" s="52"/>
      <c r="C20" s="52">
        <f>'Income Statement'!C38/'Income Statement'!B38-1</f>
        <v>0.10454435581339139</v>
      </c>
      <c r="D20" s="52">
        <f>'Income Statement'!D38/'Income Statement'!C38-1</f>
        <v>5.0114892220155527E-2</v>
      </c>
    </row>
    <row r="21" spans="1:4">
      <c r="A21" s="9" t="s">
        <v>158</v>
      </c>
      <c r="B21" s="52"/>
      <c r="C21" s="52">
        <f>'Income Statement'!C30/'Income Statement'!B30-1</f>
        <v>0.2086129753915007</v>
      </c>
      <c r="D21" s="52">
        <f>'Income Statement'!D30/'Income Statement'!C30-1</f>
        <v>-8.0286904211012811E-2</v>
      </c>
    </row>
    <row r="22" spans="1:4">
      <c r="A22" s="9"/>
      <c r="B22" s="24"/>
      <c r="C22" s="24"/>
      <c r="D22" s="24"/>
    </row>
    <row r="23" spans="1:4">
      <c r="A23" s="18" t="s">
        <v>159</v>
      </c>
      <c r="B23" s="25"/>
      <c r="C23" s="25"/>
      <c r="D23" s="25"/>
    </row>
    <row r="24" spans="1:4">
      <c r="A24" s="9" t="s">
        <v>195</v>
      </c>
      <c r="B24" s="52"/>
      <c r="C24" s="52">
        <f>'Income Statement'!C30/AVERAGE('Balance Sheet'!B30,'Balance Sheet'!C30)</f>
        <v>0.10863254200651001</v>
      </c>
      <c r="D24" s="52">
        <f>'Income Statement'!D30/AVERAGE('Balance Sheet'!C30,'Balance Sheet'!D30)</f>
        <v>9.5702419646081782E-2</v>
      </c>
    </row>
    <row r="25" spans="1:4">
      <c r="A25" s="9" t="s">
        <v>196</v>
      </c>
      <c r="B25" s="52"/>
      <c r="C25" s="52">
        <f>'Income Statement'!C30/AVERAGE('Balance Sheet'!B24,'Balance Sheet'!C24)</f>
        <v>7.8373771443078444E-2</v>
      </c>
      <c r="D25" s="52">
        <f>'Income Statement'!D30/AVERAGE('Balance Sheet'!C24,'Balance Sheet'!D24)</f>
        <v>7.0076775939425573E-2</v>
      </c>
    </row>
    <row r="26" spans="1:4">
      <c r="A26" s="9" t="s">
        <v>197</v>
      </c>
      <c r="B26" s="52"/>
      <c r="C26" s="52">
        <f>('Income Statement'!C16*(1-C13))/AVERAGE(('Balance Sheet'!B30+'Balance Sheet'!B34+'Balance Sheet'!B39-'Balance Sheet'!B21),('Balance Sheet'!C30+'Balance Sheet'!C34+'Balance Sheet'!C39-'Balance Sheet'!C21))</f>
        <v>0.12097563942581616</v>
      </c>
      <c r="D26" s="52">
        <f>('Income Statement'!D16*(1-D13))/AVERAGE(('Balance Sheet'!C30+'Balance Sheet'!C34+'Balance Sheet'!C39-'Balance Sheet'!C21),('Balance Sheet'!D30+'Balance Sheet'!D34+'Balance Sheet'!D39-'Balance Sheet'!D21))</f>
        <v>0.13338812378985568</v>
      </c>
    </row>
    <row r="27" spans="1:4">
      <c r="A27" s="9"/>
      <c r="B27" s="24"/>
      <c r="C27" s="24"/>
      <c r="D27" s="24"/>
    </row>
    <row r="28" spans="1:4">
      <c r="A28" s="18" t="s">
        <v>160</v>
      </c>
      <c r="B28" s="25"/>
      <c r="C28" s="25"/>
      <c r="D28" s="25"/>
    </row>
    <row r="29" spans="1:4">
      <c r="A29" s="9" t="s">
        <v>161</v>
      </c>
      <c r="B29" s="26">
        <f>'Cash Flow'!B16</f>
        <v>115.29999999999997</v>
      </c>
      <c r="C29" s="26">
        <f>'Cash Flow'!C16</f>
        <v>329.69999999999993</v>
      </c>
      <c r="D29" s="26">
        <f>'Cash Flow'!D16</f>
        <v>462.40000000000003</v>
      </c>
    </row>
    <row r="30" spans="1:4">
      <c r="A30" s="9" t="s">
        <v>162</v>
      </c>
      <c r="B30" s="52">
        <f>B29/'Income Statement'!B5</f>
        <v>3.1376711024029162E-2</v>
      </c>
      <c r="C30" s="52">
        <f>C29/'Income Statement'!C5</f>
        <v>8.2841277419030607E-2</v>
      </c>
      <c r="D30" s="52">
        <f>D29/'Income Statement'!D5</f>
        <v>0.11361737677527152</v>
      </c>
    </row>
    <row r="31" spans="1:4">
      <c r="A31" s="9" t="s">
        <v>163</v>
      </c>
      <c r="B31" s="26">
        <f>-'Cash Flow'!B13</f>
        <v>338.3</v>
      </c>
      <c r="C31" s="26">
        <f>-'Cash Flow'!C13</f>
        <v>345.8</v>
      </c>
      <c r="D31" s="26">
        <f>-'Cash Flow'!D13</f>
        <v>335.3</v>
      </c>
    </row>
    <row r="32" spans="1:4">
      <c r="A32" s="9" t="s">
        <v>164</v>
      </c>
      <c r="B32" s="52">
        <f>B31/'Income Statement'!B5</f>
        <v>9.2061937028873109E-2</v>
      </c>
      <c r="C32" s="52">
        <f>C31/'Income Statement'!C5</f>
        <v>8.6886605191085209E-2</v>
      </c>
      <c r="D32" s="52">
        <f>D31/'Income Statement'!D5</f>
        <v>8.2387340901272796E-2</v>
      </c>
    </row>
    <row r="33" spans="1:4">
      <c r="A33" s="9" t="s">
        <v>165</v>
      </c>
      <c r="B33" s="52">
        <f>B29/'Income Statement'!B38</f>
        <v>0.1393521875755378</v>
      </c>
      <c r="C33" s="52">
        <f>C29/'Income Statement'!C38</f>
        <v>0.360761571287887</v>
      </c>
      <c r="D33" s="52">
        <f>D29/'Income Statement'!D38</f>
        <v>0.48181723455246434</v>
      </c>
    </row>
    <row r="34" spans="1:4">
      <c r="A34" s="9"/>
      <c r="B34" s="24"/>
      <c r="C34" s="24"/>
      <c r="D34" s="24"/>
    </row>
    <row r="35" spans="1:4">
      <c r="A35" s="18" t="s">
        <v>166</v>
      </c>
      <c r="B35" s="25"/>
      <c r="C35" s="25"/>
      <c r="D35" s="25"/>
    </row>
    <row r="36" spans="1:4">
      <c r="A36" s="9" t="s">
        <v>167</v>
      </c>
      <c r="B36" s="26">
        <f>'Balance Sheet'!B21-'Balance Sheet'!B34-'Balance Sheet'!B39</f>
        <v>-166.4</v>
      </c>
      <c r="C36" s="26">
        <f>'Balance Sheet'!C21-'Balance Sheet'!C34-'Balance Sheet'!C39</f>
        <v>-40.899999999999977</v>
      </c>
      <c r="D36" s="24">
        <f>'Balance Sheet'!D21-'Balance Sheet'!D34-'Balance Sheet'!D39</f>
        <v>108.39999999999995</v>
      </c>
    </row>
    <row r="37" spans="1:4">
      <c r="A37" s="9" t="s">
        <v>198</v>
      </c>
      <c r="B37" s="54">
        <f>('Balance Sheet'!B34+'Balance Sheet'!B39-'Balance Sheet'!B21)/'Income Statement'!B38</f>
        <v>0.20111191684795743</v>
      </c>
      <c r="C37" s="54">
        <f>('Balance Sheet'!C34+'Balance Sheet'!C39-'Balance Sheet'!C21)/'Income Statement'!C38</f>
        <v>4.4753255279571046E-2</v>
      </c>
      <c r="D37" s="54">
        <f>('Balance Sheet'!D34+'Balance Sheet'!D39-'Balance Sheet'!D21)/'Income Statement'!D38</f>
        <v>-0.11295196415546523</v>
      </c>
    </row>
    <row r="38" spans="1:4">
      <c r="A38" s="9" t="s">
        <v>168</v>
      </c>
      <c r="B38" s="27">
        <f>'Balance Sheet'!B22/'Balance Sheet'!B45</f>
        <v>2.0281431067782578</v>
      </c>
      <c r="C38" s="27">
        <f>'Balance Sheet'!C22/'Balance Sheet'!C45</f>
        <v>2.2038065027755747</v>
      </c>
      <c r="D38" s="27">
        <f>'Balance Sheet'!D22/'Balance Sheet'!D45</f>
        <v>2.3860242321780785</v>
      </c>
    </row>
    <row r="39" spans="1:4">
      <c r="A39" s="9"/>
      <c r="B39" s="24"/>
      <c r="C39" s="24"/>
      <c r="D39" s="24"/>
    </row>
    <row r="40" spans="1:4">
      <c r="A40" s="18" t="s">
        <v>169</v>
      </c>
      <c r="B40" s="25"/>
      <c r="C40" s="25"/>
      <c r="D40" s="25"/>
    </row>
    <row r="41" spans="1:4">
      <c r="A41" s="9" t="s">
        <v>49</v>
      </c>
      <c r="B41" s="55">
        <f>'Income Statement'!B34</f>
        <v>3.01</v>
      </c>
      <c r="C41" s="55">
        <f>'Income Statement'!C34</f>
        <v>3.64</v>
      </c>
      <c r="D41" s="55">
        <f>'Income Statement'!D34</f>
        <v>3.34</v>
      </c>
    </row>
    <row r="42" spans="1:4">
      <c r="A42" s="9" t="s">
        <v>170</v>
      </c>
      <c r="B42" s="55"/>
      <c r="C42" s="55">
        <f>'Income Statement'!C35</f>
        <v>4.25</v>
      </c>
      <c r="D42" s="55">
        <f>'Income Statement'!D35</f>
        <v>4.6399999999999997</v>
      </c>
    </row>
    <row r="43" spans="1:4">
      <c r="A43" s="9" t="s">
        <v>171</v>
      </c>
      <c r="B43" s="51">
        <v>0.85</v>
      </c>
      <c r="C43" s="51">
        <v>0.9</v>
      </c>
      <c r="D43" s="51">
        <v>0.98</v>
      </c>
    </row>
    <row r="44" spans="1:4">
      <c r="A44" s="9" t="s">
        <v>199</v>
      </c>
      <c r="B44" s="52">
        <f>B43/'Income Statement'!B33</f>
        <v>0.28052805280528054</v>
      </c>
      <c r="C44" s="52">
        <f>C43/'Income Statement'!C33</f>
        <v>0.24523160762942781</v>
      </c>
      <c r="D44" s="52">
        <f>D43/'Income Statement'!D33</f>
        <v>0.29080118694362017</v>
      </c>
    </row>
    <row r="45" spans="1:4">
      <c r="A45" s="9"/>
      <c r="B45" s="24"/>
      <c r="C45" s="24"/>
      <c r="D45" s="24"/>
    </row>
    <row r="46" spans="1:4">
      <c r="A46" s="18" t="s">
        <v>172</v>
      </c>
      <c r="B46" s="25"/>
      <c r="C46" s="25"/>
      <c r="D46" s="25"/>
    </row>
    <row r="47" spans="1:4">
      <c r="A47" s="9" t="s">
        <v>173</v>
      </c>
      <c r="B47" s="56">
        <v>14600</v>
      </c>
      <c r="C47" s="56">
        <v>14600</v>
      </c>
      <c r="D47" s="56">
        <v>15000</v>
      </c>
    </row>
    <row r="48" spans="1:4">
      <c r="A48" s="9" t="s">
        <v>174</v>
      </c>
      <c r="B48" s="26">
        <f>'Income Statement'!B5*1000/B47</f>
        <v>251.6917808219178</v>
      </c>
      <c r="C48" s="26">
        <f>'Income Statement'!C5*1000/C47</f>
        <v>272.59589041095893</v>
      </c>
      <c r="D48" s="26">
        <f>'Income Statement'!D5*1000/D47</f>
        <v>271.32</v>
      </c>
    </row>
    <row r="49" spans="1:4">
      <c r="B49" s="23"/>
      <c r="C49" s="23"/>
      <c r="D49" s="23"/>
    </row>
    <row r="50" spans="1:4">
      <c r="A50" s="10" t="s">
        <v>200</v>
      </c>
    </row>
    <row r="51" spans="1:4">
      <c r="A51" s="10" t="s">
        <v>201</v>
      </c>
    </row>
    <row r="52" spans="1:4">
      <c r="A52" s="10" t="s">
        <v>202</v>
      </c>
    </row>
    <row r="53" spans="1:4">
      <c r="A53" s="10" t="s">
        <v>203</v>
      </c>
    </row>
    <row r="54" spans="1:4">
      <c r="A54" s="10" t="s">
        <v>204</v>
      </c>
    </row>
    <row r="55" spans="1:4">
      <c r="A55" s="10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B3A5C"/>
  </sheetPr>
  <dimension ref="A1:D16"/>
  <sheetViews>
    <sheetView showGridLines="0" workbookViewId="0"/>
  </sheetViews>
  <sheetFormatPr defaultColWidth="8.6640625" defaultRowHeight="14.4"/>
  <cols>
    <col min="1" max="1" width="8" customWidth="1"/>
    <col min="2" max="2" width="45" customWidth="1"/>
    <col min="3" max="3" width="20" customWidth="1"/>
    <col min="4" max="4" width="55" customWidth="1"/>
  </cols>
  <sheetData>
    <row r="1" spans="1:4" ht="17.399999999999999">
      <c r="A1" s="11" t="s">
        <v>206</v>
      </c>
    </row>
    <row r="3" spans="1:4">
      <c r="A3" s="28" t="s">
        <v>207</v>
      </c>
      <c r="B3" s="28" t="s">
        <v>208</v>
      </c>
      <c r="C3" s="28" t="s">
        <v>209</v>
      </c>
      <c r="D3" s="28" t="s">
        <v>210</v>
      </c>
    </row>
    <row r="4" spans="1:4" ht="39.6">
      <c r="A4" s="29" t="s">
        <v>211</v>
      </c>
      <c r="B4" s="30" t="s">
        <v>212</v>
      </c>
      <c r="C4" s="30" t="s">
        <v>213</v>
      </c>
      <c r="D4" s="30" t="s">
        <v>214</v>
      </c>
    </row>
    <row r="5" spans="1:4" ht="39.6">
      <c r="A5" s="31" t="s">
        <v>215</v>
      </c>
      <c r="B5" s="32" t="s">
        <v>216</v>
      </c>
      <c r="C5" s="32" t="s">
        <v>217</v>
      </c>
      <c r="D5" s="32" t="s">
        <v>218</v>
      </c>
    </row>
    <row r="6" spans="1:4" ht="26.4">
      <c r="A6" s="29" t="s">
        <v>219</v>
      </c>
      <c r="B6" s="30" t="s">
        <v>220</v>
      </c>
      <c r="C6" s="30" t="s">
        <v>221</v>
      </c>
      <c r="D6" s="30" t="s">
        <v>222</v>
      </c>
    </row>
    <row r="7" spans="1:4" ht="26.4">
      <c r="A7" s="31" t="s">
        <v>223</v>
      </c>
      <c r="B7" s="32" t="s">
        <v>224</v>
      </c>
      <c r="C7" s="32" t="s">
        <v>225</v>
      </c>
      <c r="D7" s="32" t="s">
        <v>226</v>
      </c>
    </row>
    <row r="8" spans="1:4" ht="43.2">
      <c r="A8" s="33" t="s">
        <v>227</v>
      </c>
      <c r="B8" s="33" t="s">
        <v>228</v>
      </c>
      <c r="C8" s="33" t="s">
        <v>229</v>
      </c>
      <c r="D8" s="33" t="s">
        <v>230</v>
      </c>
    </row>
    <row r="10" spans="1:4">
      <c r="A10" s="20" t="s">
        <v>231</v>
      </c>
    </row>
    <row r="11" spans="1:4">
      <c r="A11" s="60" t="s">
        <v>232</v>
      </c>
      <c r="B11" s="61"/>
      <c r="C11" s="61"/>
      <c r="D11" s="61"/>
    </row>
    <row r="12" spans="1:4">
      <c r="A12" s="60" t="s">
        <v>233</v>
      </c>
      <c r="B12" s="61"/>
      <c r="C12" s="61"/>
      <c r="D12" s="61"/>
    </row>
    <row r="13" spans="1:4">
      <c r="A13" s="60" t="s">
        <v>234</v>
      </c>
      <c r="B13" s="61"/>
      <c r="C13" s="61"/>
      <c r="D13" s="61"/>
    </row>
    <row r="14" spans="1:4">
      <c r="A14" s="60" t="s">
        <v>235</v>
      </c>
      <c r="B14" s="61"/>
      <c r="C14" s="61"/>
      <c r="D14" s="61"/>
    </row>
    <row r="15" spans="1:4">
      <c r="A15" s="60" t="s">
        <v>236</v>
      </c>
      <c r="B15" s="61"/>
      <c r="C15" s="61"/>
      <c r="D15" s="61"/>
    </row>
    <row r="16" spans="1:4">
      <c r="A16" s="60" t="s">
        <v>237</v>
      </c>
      <c r="B16" s="61"/>
      <c r="C16" s="61"/>
      <c r="D16" s="61"/>
    </row>
  </sheetData>
  <mergeCells count="6">
    <mergeCell ref="A16:D16"/>
    <mergeCell ref="A11:D11"/>
    <mergeCell ref="A12:D12"/>
    <mergeCell ref="A13:D13"/>
    <mergeCell ref="A14:D14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Income Statement</vt:lpstr>
      <vt:lpstr>Balance Sheet</vt:lpstr>
      <vt:lpstr>Cash Flow</vt:lpstr>
      <vt:lpstr>Revenue Breakdown</vt:lpstr>
      <vt:lpstr>Ratios</vt:lpstr>
      <vt:lpstr>Sources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0905375</cp:lastModifiedBy>
  <dcterms:modified xsi:type="dcterms:W3CDTF">2026-07-24T09:00:05Z</dcterms:modified>
</cp:coreProperties>
</file>